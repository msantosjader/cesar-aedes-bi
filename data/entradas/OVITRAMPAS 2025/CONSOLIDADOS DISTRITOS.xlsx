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ONITORAMENTO - REDE\PLANILHA CONTAGEM DE OVOS\2025\"/>
    </mc:Choice>
  </mc:AlternateContent>
  <bookViews>
    <workbookView xWindow="0" yWindow="0" windowWidth="28800" windowHeight="12435"/>
  </bookViews>
  <sheets>
    <sheet name="IDO E OUTROS DADOS" sheetId="1" r:id="rId1"/>
    <sheet name="TABELA DINÂMICA" sheetId="8" r:id="rId2"/>
    <sheet name="Plan1" sheetId="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52511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47" i="1" l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L27" i="1" l="1"/>
  <c r="AI60" i="1" l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K60" i="1"/>
  <c r="J60" i="1"/>
  <c r="I60" i="1"/>
  <c r="H60" i="1"/>
  <c r="G60" i="1"/>
  <c r="F60" i="1"/>
  <c r="E60" i="1"/>
  <c r="D60" i="1"/>
  <c r="C60" i="1"/>
  <c r="J59" i="1"/>
  <c r="I59" i="1"/>
  <c r="H59" i="1"/>
  <c r="G59" i="1"/>
  <c r="F59" i="1"/>
  <c r="E59" i="1"/>
  <c r="D59" i="1"/>
  <c r="C59" i="1"/>
  <c r="AI10" i="1" l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C50" i="1" l="1"/>
  <c r="AD50" i="1"/>
  <c r="AE50" i="1"/>
  <c r="AF50" i="1"/>
  <c r="AG50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G85" i="1" l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AH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AH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AH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AH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AH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AH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AH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AH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AH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AH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AH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AH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AH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AH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AH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AH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AH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AH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AH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AH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AH57" i="1" l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AH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AH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AH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AH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AH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AH45" i="1" l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G85" i="1"/>
  <c r="G84" i="1"/>
  <c r="G83" i="1"/>
  <c r="G82" i="1"/>
  <c r="G81" i="1"/>
  <c r="G80" i="1"/>
  <c r="G79" i="1"/>
  <c r="F78" i="1"/>
  <c r="G77" i="1"/>
  <c r="G76" i="1"/>
  <c r="G75" i="1"/>
  <c r="G74" i="1"/>
  <c r="G73" i="1"/>
  <c r="G72" i="1"/>
  <c r="G71" i="1"/>
  <c r="G70" i="1"/>
  <c r="G69" i="1"/>
  <c r="G68" i="1"/>
  <c r="F67" i="1"/>
  <c r="G66" i="1"/>
  <c r="G65" i="1"/>
  <c r="G64" i="1"/>
  <c r="G63" i="1"/>
  <c r="F62" i="1"/>
  <c r="G61" i="1"/>
  <c r="G57" i="1"/>
  <c r="G56" i="1"/>
  <c r="F55" i="1"/>
  <c r="G54" i="1"/>
  <c r="G53" i="1"/>
  <c r="G52" i="1"/>
  <c r="G51" i="1"/>
  <c r="F43" i="1"/>
  <c r="F2" i="1"/>
  <c r="E44" i="1"/>
  <c r="D44" i="1"/>
  <c r="C27" i="1"/>
  <c r="D27" i="1"/>
  <c r="F85" i="1"/>
  <c r="E85" i="1"/>
  <c r="F84" i="1"/>
  <c r="F83" i="1"/>
  <c r="F82" i="1"/>
  <c r="F81" i="1"/>
  <c r="F80" i="1"/>
  <c r="F79" i="1"/>
  <c r="E78" i="1"/>
  <c r="F77" i="1"/>
  <c r="F76" i="1"/>
  <c r="F75" i="1"/>
  <c r="F74" i="1"/>
  <c r="F73" i="1"/>
  <c r="F72" i="1"/>
  <c r="F71" i="1"/>
  <c r="F70" i="1"/>
  <c r="F69" i="1"/>
  <c r="F68" i="1"/>
  <c r="E67" i="1"/>
  <c r="F66" i="1"/>
  <c r="F65" i="1"/>
  <c r="F64" i="1"/>
  <c r="F63" i="1"/>
  <c r="E62" i="1"/>
  <c r="F61" i="1"/>
  <c r="F58" i="1"/>
  <c r="F57" i="1"/>
  <c r="F56" i="1"/>
  <c r="E55" i="1"/>
  <c r="F54" i="1"/>
  <c r="F53" i="1"/>
  <c r="F52" i="1"/>
  <c r="F51" i="1"/>
  <c r="F50" i="1"/>
  <c r="F46" i="1"/>
  <c r="F45" i="1"/>
  <c r="F44" i="1"/>
  <c r="E43" i="1"/>
  <c r="E84" i="1"/>
  <c r="E83" i="1"/>
  <c r="E82" i="1"/>
  <c r="E81" i="1"/>
  <c r="E80" i="1"/>
  <c r="E79" i="1"/>
  <c r="D78" i="1"/>
  <c r="E77" i="1"/>
  <c r="E76" i="1"/>
  <c r="E75" i="1"/>
  <c r="E74" i="1"/>
  <c r="E73" i="1"/>
  <c r="E72" i="1"/>
  <c r="E71" i="1"/>
  <c r="E70" i="1"/>
  <c r="E69" i="1"/>
  <c r="E68" i="1"/>
  <c r="D67" i="1"/>
  <c r="E66" i="1"/>
  <c r="E65" i="1"/>
  <c r="E64" i="1"/>
  <c r="E63" i="1"/>
  <c r="D62" i="1"/>
  <c r="E58" i="1"/>
  <c r="E57" i="1"/>
  <c r="E56" i="1"/>
  <c r="D55" i="1"/>
  <c r="E54" i="1"/>
  <c r="E53" i="1"/>
  <c r="E52" i="1"/>
  <c r="E51" i="1"/>
  <c r="E50" i="1"/>
  <c r="E46" i="1"/>
  <c r="E45" i="1"/>
  <c r="D43" i="1"/>
  <c r="D79" i="1" l="1"/>
  <c r="AG14" i="1" l="1"/>
  <c r="D85" i="1" l="1"/>
  <c r="D80" i="1"/>
  <c r="AG56" i="1" l="1"/>
  <c r="AG58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6" i="1"/>
  <c r="AI65" i="1"/>
  <c r="AI64" i="1"/>
  <c r="AI63" i="1"/>
  <c r="AI62" i="1"/>
  <c r="AI58" i="1"/>
  <c r="AI57" i="1"/>
  <c r="AI56" i="1"/>
  <c r="AI55" i="1"/>
  <c r="AI54" i="1"/>
  <c r="AI53" i="1"/>
  <c r="AI52" i="1"/>
  <c r="AI51" i="1"/>
  <c r="AI50" i="1"/>
  <c r="AI45" i="1"/>
  <c r="AI44" i="1"/>
  <c r="AH44" i="1"/>
  <c r="AI43" i="1"/>
  <c r="AH43" i="1"/>
  <c r="AG77" i="1"/>
  <c r="AG75" i="1"/>
  <c r="AG70" i="1"/>
  <c r="AI85" i="1"/>
  <c r="AH85" i="1"/>
  <c r="AG84" i="1"/>
  <c r="AG83" i="1"/>
  <c r="AG82" i="1"/>
  <c r="AG81" i="1"/>
  <c r="AG80" i="1"/>
  <c r="AG79" i="1"/>
  <c r="AG72" i="1"/>
  <c r="AG65" i="1"/>
  <c r="AG64" i="1"/>
  <c r="AG63" i="1"/>
  <c r="AG62" i="1"/>
  <c r="AG57" i="1"/>
  <c r="AG54" i="1"/>
  <c r="AG53" i="1"/>
  <c r="AG51" i="1"/>
  <c r="AG45" i="1"/>
  <c r="AG44" i="1"/>
  <c r="AG43" i="1"/>
  <c r="AG68" i="1" l="1"/>
  <c r="AG71" i="1"/>
  <c r="AG76" i="1"/>
  <c r="AG69" i="1"/>
  <c r="AG74" i="1"/>
  <c r="D84" i="1"/>
  <c r="D83" i="1"/>
  <c r="D82" i="1"/>
  <c r="D81" i="1"/>
  <c r="D77" i="1"/>
  <c r="D76" i="1"/>
  <c r="D75" i="1"/>
  <c r="D74" i="1"/>
  <c r="D73" i="1"/>
  <c r="D72" i="1"/>
  <c r="D71" i="1"/>
  <c r="D70" i="1"/>
  <c r="D69" i="1"/>
  <c r="D68" i="1"/>
  <c r="D66" i="1"/>
  <c r="D65" i="1"/>
  <c r="D64" i="1"/>
  <c r="D63" i="1"/>
  <c r="D58" i="1"/>
  <c r="D57" i="1"/>
  <c r="D56" i="1"/>
  <c r="D54" i="1"/>
  <c r="D53" i="1"/>
  <c r="D52" i="1"/>
  <c r="D51" i="1"/>
  <c r="D50" i="1"/>
  <c r="D46" i="1"/>
  <c r="D45" i="1"/>
  <c r="AI42" i="1" l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71" i="1" l="1"/>
  <c r="C85" i="1"/>
  <c r="C79" i="1"/>
  <c r="C78" i="1"/>
  <c r="C84" i="1"/>
  <c r="C83" i="1"/>
  <c r="C82" i="1"/>
  <c r="C81" i="1"/>
  <c r="C80" i="1"/>
  <c r="C77" i="1"/>
  <c r="C76" i="1"/>
  <c r="C75" i="1"/>
  <c r="C74" i="1"/>
  <c r="C73" i="1"/>
  <c r="C72" i="1"/>
  <c r="C70" i="1"/>
  <c r="C69" i="1"/>
  <c r="C68" i="1"/>
  <c r="C67" i="1"/>
  <c r="C66" i="1"/>
  <c r="C65" i="1"/>
  <c r="C64" i="1"/>
  <c r="C63" i="1"/>
  <c r="C62" i="1"/>
  <c r="C58" i="1"/>
  <c r="C57" i="1"/>
  <c r="C56" i="1"/>
  <c r="C55" i="1"/>
  <c r="C54" i="1"/>
  <c r="C53" i="1"/>
  <c r="C52" i="1"/>
  <c r="C51" i="1"/>
  <c r="C50" i="1"/>
  <c r="C46" i="1"/>
  <c r="C45" i="1"/>
  <c r="C44" i="1"/>
  <c r="C43" i="1"/>
  <c r="C42" i="1"/>
  <c r="C41" i="1"/>
  <c r="C40" i="1"/>
  <c r="C39" i="1"/>
  <c r="C38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K27" i="1"/>
  <c r="J27" i="1"/>
  <c r="I27" i="1"/>
  <c r="H27" i="1"/>
  <c r="G27" i="1"/>
  <c r="F27" i="1"/>
  <c r="E27" i="1"/>
  <c r="AF26" i="1" l="1"/>
  <c r="AG26" i="1"/>
  <c r="AI26" i="1"/>
  <c r="AH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I25" i="1" l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I19" i="1"/>
  <c r="AF19" i="1"/>
  <c r="AC19" i="1"/>
  <c r="AE19" i="1"/>
  <c r="AG19" i="1"/>
  <c r="AD19" i="1"/>
  <c r="AH19" i="1"/>
  <c r="AB19" i="1"/>
  <c r="AA19" i="1"/>
  <c r="Z19" i="1"/>
  <c r="Y19" i="1"/>
  <c r="X19" i="1"/>
  <c r="W19" i="1"/>
  <c r="V19" i="1"/>
  <c r="U19" i="1"/>
  <c r="T19" i="1"/>
  <c r="S19" i="1"/>
  <c r="R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Q19" i="1" l="1"/>
  <c r="AG15" i="1"/>
  <c r="AE17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I17" i="1"/>
  <c r="AH17" i="1"/>
  <c r="AG17" i="1"/>
  <c r="AF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I15" i="1"/>
  <c r="AH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I14" i="1"/>
  <c r="AH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C13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E2" i="1"/>
  <c r="D2" i="1"/>
  <c r="C2" i="1"/>
  <c r="D13" i="1" l="1"/>
  <c r="AF61" i="1"/>
  <c r="AI61" i="1"/>
  <c r="AH61" i="1"/>
  <c r="AG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E61" i="1"/>
  <c r="D61" i="1"/>
  <c r="C61" i="1"/>
  <c r="AE61" i="1" l="1"/>
</calcChain>
</file>

<file path=xl/sharedStrings.xml><?xml version="1.0" encoding="utf-8"?>
<sst xmlns="http://schemas.openxmlformats.org/spreadsheetml/2006/main" count="226" uniqueCount="142">
  <si>
    <t>RECIFE</t>
  </si>
  <si>
    <t>SANTO ANTÔNIO</t>
  </si>
  <si>
    <t>COELHOS</t>
  </si>
  <si>
    <t>PAISSANDU</t>
  </si>
  <si>
    <t>CABANGA</t>
  </si>
  <si>
    <t xml:space="preserve">SANTO AMARO </t>
  </si>
  <si>
    <t>ILHA DO LEITE</t>
  </si>
  <si>
    <t>SOLEDADE</t>
  </si>
  <si>
    <t xml:space="preserve">SÃO JOSÉ </t>
  </si>
  <si>
    <t>ILHA JOANA BEZERRA</t>
  </si>
  <si>
    <t>BOA VISTA</t>
  </si>
  <si>
    <t xml:space="preserve">ARRUDA </t>
  </si>
  <si>
    <t xml:space="preserve">CAMPINA DO BARRETO </t>
  </si>
  <si>
    <t xml:space="preserve">CAMPO GRANDE </t>
  </si>
  <si>
    <t xml:space="preserve">ENCRUZILHADA </t>
  </si>
  <si>
    <t xml:space="preserve">HIPÓDROMO </t>
  </si>
  <si>
    <t>PEIXINHOS</t>
  </si>
  <si>
    <t xml:space="preserve">PONTO DE PARADA </t>
  </si>
  <si>
    <t xml:space="preserve">ROSARINHO </t>
  </si>
  <si>
    <t xml:space="preserve">TORREÃO </t>
  </si>
  <si>
    <t xml:space="preserve">ÁGUA FRIA </t>
  </si>
  <si>
    <t xml:space="preserve">ALTO SANTA TEREZINHA </t>
  </si>
  <si>
    <t xml:space="preserve">BOMBA DO HEMETÉRIO </t>
  </si>
  <si>
    <t xml:space="preserve">CAJUEIRO </t>
  </si>
  <si>
    <t xml:space="preserve">FUNDÃO </t>
  </si>
  <si>
    <t xml:space="preserve">PORTO DA MADEIRA </t>
  </si>
  <si>
    <t xml:space="preserve">BEBERIBE </t>
  </si>
  <si>
    <t>DOIS UNIDOS</t>
  </si>
  <si>
    <t>LINHA DO TIRO</t>
  </si>
  <si>
    <t>AFLITOS</t>
  </si>
  <si>
    <t>ALTO DO MANDU</t>
  </si>
  <si>
    <t>APIPUCOS</t>
  </si>
  <si>
    <t xml:space="preserve">CASA AMARELA </t>
  </si>
  <si>
    <t>CASA FORTE</t>
  </si>
  <si>
    <t>DERBY</t>
  </si>
  <si>
    <t>DOIS IRMÃOS</t>
  </si>
  <si>
    <t>ESPINHEIRO</t>
  </si>
  <si>
    <t>GRAÇAS</t>
  </si>
  <si>
    <t>JAQUEIRA</t>
  </si>
  <si>
    <t>MONTEIRO</t>
  </si>
  <si>
    <t>PARNAMIRIM</t>
  </si>
  <si>
    <t>POÇO</t>
  </si>
  <si>
    <t>SANTANA</t>
  </si>
  <si>
    <t>SITIO DOS PINTOS</t>
  </si>
  <si>
    <t>TAMARINEIRA</t>
  </si>
  <si>
    <t>ILHA DO RETIRO</t>
  </si>
  <si>
    <t>ZUMBI</t>
  </si>
  <si>
    <t>ENGENHO DO MEIO</t>
  </si>
  <si>
    <t>VÁRZEA BRASILIT</t>
  </si>
  <si>
    <t>VÁRZEA BAIXO</t>
  </si>
  <si>
    <t>VÁRZEA BARREIRAS</t>
  </si>
  <si>
    <t>VÁRZEA UR-7</t>
  </si>
  <si>
    <t>DS</t>
  </si>
  <si>
    <t>BAIRRO</t>
  </si>
  <si>
    <t>I</t>
  </si>
  <si>
    <t>II</t>
  </si>
  <si>
    <t>III</t>
  </si>
  <si>
    <t>IV</t>
  </si>
  <si>
    <t>V</t>
  </si>
  <si>
    <t>Mangueira</t>
  </si>
  <si>
    <t>Jardim São Paulo I</t>
  </si>
  <si>
    <t>Jardim São Paulo II</t>
  </si>
  <si>
    <t>Afogados I</t>
  </si>
  <si>
    <t>Afogados II</t>
  </si>
  <si>
    <t>Afogados III</t>
  </si>
  <si>
    <t>VI</t>
  </si>
  <si>
    <t>Pina</t>
  </si>
  <si>
    <t>Brasília</t>
  </si>
  <si>
    <t>Ipsep</t>
  </si>
  <si>
    <t>Imbiribeira</t>
  </si>
  <si>
    <t>VII</t>
  </si>
  <si>
    <t>Boa Viagem</t>
  </si>
  <si>
    <t>Nova Descoberta</t>
  </si>
  <si>
    <t>Alto José Bonifácio</t>
  </si>
  <si>
    <t>Mangabeira</t>
  </si>
  <si>
    <t>Alto José do Pinho</t>
  </si>
  <si>
    <t>Morro da Conceição</t>
  </si>
  <si>
    <t>Vasco da Gama</t>
  </si>
  <si>
    <t>Macaxeira</t>
  </si>
  <si>
    <t>Brejo da Guabiraba</t>
  </si>
  <si>
    <t>Córrego da Jenipapo</t>
  </si>
  <si>
    <t>Brejo do Beberibe</t>
  </si>
  <si>
    <t>Passarinho</t>
  </si>
  <si>
    <t>VIII</t>
  </si>
  <si>
    <t>Ibura I</t>
  </si>
  <si>
    <t>Ibura II</t>
  </si>
  <si>
    <t>Ibura III</t>
  </si>
  <si>
    <t>Jordão</t>
  </si>
  <si>
    <t>Cohab I</t>
  </si>
  <si>
    <t>Cohab II</t>
  </si>
  <si>
    <t>Cohab III</t>
  </si>
  <si>
    <t>Cohab IV</t>
  </si>
  <si>
    <t>CICLO 1</t>
  </si>
  <si>
    <t>CICLO 2</t>
  </si>
  <si>
    <t>CICLO 3</t>
  </si>
  <si>
    <t>CICLO 4</t>
  </si>
  <si>
    <t>CICLO 5</t>
  </si>
  <si>
    <t>CICLO 6</t>
  </si>
  <si>
    <t>CICLO 7</t>
  </si>
  <si>
    <t>CICLO 8</t>
  </si>
  <si>
    <t>CICLO 9</t>
  </si>
  <si>
    <t>CICLO 10</t>
  </si>
  <si>
    <t>CICLO 11</t>
  </si>
  <si>
    <t>CICLO 12</t>
  </si>
  <si>
    <t>CICLO 13</t>
  </si>
  <si>
    <t>CICLO 14</t>
  </si>
  <si>
    <t>CICLO 15</t>
  </si>
  <si>
    <t>CICLO 16</t>
  </si>
  <si>
    <t>CICLO 17</t>
  </si>
  <si>
    <t>CICLO 18</t>
  </si>
  <si>
    <t>CICLO 19</t>
  </si>
  <si>
    <t>CICLO 20</t>
  </si>
  <si>
    <t>CICLO 21</t>
  </si>
  <si>
    <t>CICLO 22</t>
  </si>
  <si>
    <t>CICLO 23</t>
  </si>
  <si>
    <t>CICLO 24</t>
  </si>
  <si>
    <t>VÁRZEA CDU</t>
  </si>
  <si>
    <t>FECHADO ANUAL</t>
  </si>
  <si>
    <t>EXTRAVIADO ANUAL</t>
  </si>
  <si>
    <t>RECUSADO ANUAL</t>
  </si>
  <si>
    <t>DESOCUPADO ANUAL</t>
  </si>
  <si>
    <t>RECUPERADA ANUAL</t>
  </si>
  <si>
    <t>CICLO 25</t>
  </si>
  <si>
    <t>CICLO 26</t>
  </si>
  <si>
    <t>QTD. PALHETAS ANUAL</t>
  </si>
  <si>
    <t>QTD. OVOS ANUAL</t>
  </si>
  <si>
    <t>Barro II</t>
  </si>
  <si>
    <t>Rótulos de Linha</t>
  </si>
  <si>
    <t>Total Geral</t>
  </si>
  <si>
    <t>Média de CICLO 1</t>
  </si>
  <si>
    <t>Média de CICLO 2</t>
  </si>
  <si>
    <t>Média de CICLO 3</t>
  </si>
  <si>
    <t>Média de CICLO 4</t>
  </si>
  <si>
    <t>Média de CICLO 5</t>
  </si>
  <si>
    <t>Média de CICLO 6</t>
  </si>
  <si>
    <t>Média de CICLO 7</t>
  </si>
  <si>
    <t>Média de CICLO 8</t>
  </si>
  <si>
    <t>Média de CICLO 9</t>
  </si>
  <si>
    <t>Média de CICLO 10</t>
  </si>
  <si>
    <t>Média de CICLO 11</t>
  </si>
  <si>
    <t>Média de CICLO 12</t>
  </si>
  <si>
    <t>Média de CICLO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</si>
</sst>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[CONSOLIDADOS DISTRITOS.xlsx]TABELA DINÂMICA!Tabela dinâmica2</c:name>
    <c:fmtId val="2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Média de CICLO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DINÂMICA'!$B$4:$B$12</c:f>
              <c:numCache>
                <c:formatCode>0</c:formatCode>
                <c:ptCount val="8"/>
                <c:pt idx="0">
                  <c:v>236.09510634035544</c:v>
                </c:pt>
                <c:pt idx="1">
                  <c:v>258.42282414888786</c:v>
                </c:pt>
                <c:pt idx="2">
                  <c:v>282.50739894682908</c:v>
                </c:pt>
                <c:pt idx="3">
                  <c:v>200.14230606921518</c:v>
                </c:pt>
                <c:pt idx="4">
                  <c:v>214.56881629108517</c:v>
                </c:pt>
                <c:pt idx="5">
                  <c:v>227.44344229140907</c:v>
                </c:pt>
                <c:pt idx="6">
                  <c:v>151.81660418362338</c:v>
                </c:pt>
                <c:pt idx="7">
                  <c:v>222.4691638452465</c:v>
                </c:pt>
              </c:numCache>
            </c:numRef>
          </c:val>
        </c:ser>
        <c:ser>
          <c:idx val="1"/>
          <c:order val="1"/>
          <c:tx>
            <c:strRef>
              <c:f>'TABELA DINÂMICA'!$C$3</c:f>
              <c:strCache>
                <c:ptCount val="1"/>
                <c:pt idx="0">
                  <c:v>Média de CICLO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DINÂMICA'!$C$4:$C$12</c:f>
              <c:numCache>
                <c:formatCode>0</c:formatCode>
                <c:ptCount val="8"/>
                <c:pt idx="0">
                  <c:v>206.3776001855629</c:v>
                </c:pt>
                <c:pt idx="1">
                  <c:v>207.06826100229694</c:v>
                </c:pt>
                <c:pt idx="2">
                  <c:v>208.99003497724087</c:v>
                </c:pt>
                <c:pt idx="3">
                  <c:v>196.78933338518323</c:v>
                </c:pt>
                <c:pt idx="4">
                  <c:v>157.91369536400165</c:v>
                </c:pt>
                <c:pt idx="5">
                  <c:v>247.48722972824913</c:v>
                </c:pt>
                <c:pt idx="6">
                  <c:v>222.62621085746642</c:v>
                </c:pt>
                <c:pt idx="7">
                  <c:v>304.88642589439922</c:v>
                </c:pt>
              </c:numCache>
            </c:numRef>
          </c:val>
        </c:ser>
        <c:ser>
          <c:idx val="2"/>
          <c:order val="2"/>
          <c:tx>
            <c:strRef>
              <c:f>'TABELA DINÂMICA'!$D$3</c:f>
              <c:strCache>
                <c:ptCount val="1"/>
                <c:pt idx="0">
                  <c:v>Média de CICLO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DINÂMICA'!$D$4:$D$12</c:f>
              <c:numCache>
                <c:formatCode>0</c:formatCode>
                <c:ptCount val="8"/>
                <c:pt idx="0">
                  <c:v>187.12096738602762</c:v>
                </c:pt>
                <c:pt idx="1">
                  <c:v>178.16449113120495</c:v>
                </c:pt>
                <c:pt idx="2">
                  <c:v>183.43506502162271</c:v>
                </c:pt>
                <c:pt idx="3">
                  <c:v>236.08496022039566</c:v>
                </c:pt>
                <c:pt idx="4">
                  <c:v>137.06467531294044</c:v>
                </c:pt>
                <c:pt idx="5">
                  <c:v>173.92380382758626</c:v>
                </c:pt>
                <c:pt idx="6">
                  <c:v>157.08172823689918</c:v>
                </c:pt>
                <c:pt idx="7">
                  <c:v>198.05737054383945</c:v>
                </c:pt>
              </c:numCache>
            </c:numRef>
          </c:val>
        </c:ser>
        <c:ser>
          <c:idx val="3"/>
          <c:order val="3"/>
          <c:tx>
            <c:strRef>
              <c:f>'TABELA DINÂMICA'!$E$3</c:f>
              <c:strCache>
                <c:ptCount val="1"/>
                <c:pt idx="0">
                  <c:v>Média de CICLO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DINÂMICA'!$E$4:$E$12</c:f>
              <c:numCache>
                <c:formatCode>0</c:formatCode>
                <c:ptCount val="8"/>
                <c:pt idx="0">
                  <c:v>177.80286468581923</c:v>
                </c:pt>
                <c:pt idx="1">
                  <c:v>267.00948495740556</c:v>
                </c:pt>
                <c:pt idx="2">
                  <c:v>229.6154184746176</c:v>
                </c:pt>
                <c:pt idx="3">
                  <c:v>263.30300556324579</c:v>
                </c:pt>
                <c:pt idx="4">
                  <c:v>236.42345243473733</c:v>
                </c:pt>
                <c:pt idx="5">
                  <c:v>268.65518194048713</c:v>
                </c:pt>
                <c:pt idx="6">
                  <c:v>218.66501811275828</c:v>
                </c:pt>
                <c:pt idx="7">
                  <c:v>270.39447007644713</c:v>
                </c:pt>
              </c:numCache>
            </c:numRef>
          </c:val>
        </c:ser>
        <c:ser>
          <c:idx val="4"/>
          <c:order val="4"/>
          <c:tx>
            <c:strRef>
              <c:f>'TABELA DINÂMICA'!$F$3</c:f>
              <c:strCache>
                <c:ptCount val="1"/>
                <c:pt idx="0">
                  <c:v>Média de CICLO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DINÂMICA'!$F$4:$F$12</c:f>
              <c:numCache>
                <c:formatCode>0</c:formatCode>
                <c:ptCount val="8"/>
                <c:pt idx="0">
                  <c:v>144.07533145355194</c:v>
                </c:pt>
                <c:pt idx="1">
                  <c:v>211.69186411086073</c:v>
                </c:pt>
                <c:pt idx="2">
                  <c:v>270.71323921485566</c:v>
                </c:pt>
                <c:pt idx="3">
                  <c:v>180.9147274988693</c:v>
                </c:pt>
                <c:pt idx="4">
                  <c:v>179.92942648749099</c:v>
                </c:pt>
                <c:pt idx="5">
                  <c:v>254.09094589272109</c:v>
                </c:pt>
                <c:pt idx="6">
                  <c:v>198.93176208911643</c:v>
                </c:pt>
                <c:pt idx="7">
                  <c:v>208.32303334286851</c:v>
                </c:pt>
              </c:numCache>
            </c:numRef>
          </c:val>
        </c:ser>
        <c:ser>
          <c:idx val="5"/>
          <c:order val="5"/>
          <c:tx>
            <c:strRef>
              <c:f>'TABELA DINÂMICA'!$G$3</c:f>
              <c:strCache>
                <c:ptCount val="1"/>
                <c:pt idx="0">
                  <c:v>Média de CICLO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DINÂMICA'!$G$4:$G$12</c:f>
              <c:numCache>
                <c:formatCode>0</c:formatCode>
                <c:ptCount val="8"/>
                <c:pt idx="0">
                  <c:v>187.13977800447145</c:v>
                </c:pt>
                <c:pt idx="1">
                  <c:v>288.34016494377664</c:v>
                </c:pt>
                <c:pt idx="2">
                  <c:v>244.96570936345557</c:v>
                </c:pt>
                <c:pt idx="3">
                  <c:v>199.73764472198724</c:v>
                </c:pt>
                <c:pt idx="4">
                  <c:v>201.85800744370167</c:v>
                </c:pt>
                <c:pt idx="5">
                  <c:v>209.90313681868739</c:v>
                </c:pt>
                <c:pt idx="6">
                  <c:v>212.78548437465008</c:v>
                </c:pt>
                <c:pt idx="7">
                  <c:v>248.85535746985576</c:v>
                </c:pt>
              </c:numCache>
            </c:numRef>
          </c:val>
        </c:ser>
        <c:ser>
          <c:idx val="6"/>
          <c:order val="6"/>
          <c:tx>
            <c:strRef>
              <c:f>'TABELA DINÂMICA'!$H$3</c:f>
              <c:strCache>
                <c:ptCount val="1"/>
                <c:pt idx="0">
                  <c:v>Média de CICLO 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DINÂMICA'!$H$4:$H$12</c:f>
              <c:numCache>
                <c:formatCode>0</c:formatCode>
                <c:ptCount val="8"/>
                <c:pt idx="0">
                  <c:v>157.84584047031194</c:v>
                </c:pt>
                <c:pt idx="1">
                  <c:v>248.04004873765047</c:v>
                </c:pt>
                <c:pt idx="2">
                  <c:v>201.43283514936218</c:v>
                </c:pt>
                <c:pt idx="3">
                  <c:v>210.19409329586318</c:v>
                </c:pt>
                <c:pt idx="4">
                  <c:v>173.67666527021365</c:v>
                </c:pt>
                <c:pt idx="5">
                  <c:v>265.0173335558942</c:v>
                </c:pt>
                <c:pt idx="6">
                  <c:v>164.12335026112893</c:v>
                </c:pt>
                <c:pt idx="7">
                  <c:v>229.456698657245</c:v>
                </c:pt>
              </c:numCache>
            </c:numRef>
          </c:val>
        </c:ser>
        <c:ser>
          <c:idx val="7"/>
          <c:order val="7"/>
          <c:tx>
            <c:strRef>
              <c:f>'TABELA DINÂMICA'!$I$3</c:f>
              <c:strCache>
                <c:ptCount val="1"/>
                <c:pt idx="0">
                  <c:v>Média de CICLO 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DINÂMICA'!$I$4:$I$12</c:f>
              <c:numCache>
                <c:formatCode>0</c:formatCode>
                <c:ptCount val="8"/>
                <c:pt idx="0">
                  <c:v>178.53891994307736</c:v>
                </c:pt>
                <c:pt idx="1">
                  <c:v>230.96747740927731</c:v>
                </c:pt>
                <c:pt idx="2">
                  <c:v>201.32361904619572</c:v>
                </c:pt>
                <c:pt idx="3">
                  <c:v>186.32581715521826</c:v>
                </c:pt>
                <c:pt idx="4">
                  <c:v>179.19232255839401</c:v>
                </c:pt>
                <c:pt idx="5">
                  <c:v>233.8590946275358</c:v>
                </c:pt>
                <c:pt idx="6">
                  <c:v>146.81050480885409</c:v>
                </c:pt>
                <c:pt idx="7">
                  <c:v>218.98727707899565</c:v>
                </c:pt>
              </c:numCache>
            </c:numRef>
          </c:val>
        </c:ser>
        <c:ser>
          <c:idx val="8"/>
          <c:order val="8"/>
          <c:tx>
            <c:strRef>
              <c:f>'TABELA DINÂMICA'!$J$3</c:f>
              <c:strCache>
                <c:ptCount val="1"/>
                <c:pt idx="0">
                  <c:v>Média de CICLO 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DINÂMICA'!$J$4:$J$12</c:f>
              <c:numCache>
                <c:formatCode>0</c:formatCode>
                <c:ptCount val="8"/>
                <c:pt idx="0">
                  <c:v>240.9951934885122</c:v>
                </c:pt>
                <c:pt idx="1">
                  <c:v>211.95946375449751</c:v>
                </c:pt>
                <c:pt idx="2">
                  <c:v>196.82138181037962</c:v>
                </c:pt>
                <c:pt idx="3">
                  <c:v>194.97231031275609</c:v>
                </c:pt>
                <c:pt idx="4">
                  <c:v>176.3291918184747</c:v>
                </c:pt>
                <c:pt idx="5">
                  <c:v>174.1420717189315</c:v>
                </c:pt>
                <c:pt idx="6">
                  <c:v>167.3372729696039</c:v>
                </c:pt>
                <c:pt idx="7">
                  <c:v>271.66060612008988</c:v>
                </c:pt>
              </c:numCache>
            </c:numRef>
          </c:val>
        </c:ser>
        <c:ser>
          <c:idx val="9"/>
          <c:order val="9"/>
          <c:tx>
            <c:strRef>
              <c:f>'TABELA DINÂMICA'!$K$3</c:f>
              <c:strCache>
                <c:ptCount val="1"/>
                <c:pt idx="0">
                  <c:v>Média de CICLO 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DINÂMICA'!$K$4:$K$12</c:f>
              <c:numCache>
                <c:formatCode>0</c:formatCode>
                <c:ptCount val="8"/>
                <c:pt idx="0">
                  <c:v>203.91600909413012</c:v>
                </c:pt>
                <c:pt idx="1">
                  <c:v>212.16161101299508</c:v>
                </c:pt>
                <c:pt idx="2">
                  <c:v>185.43917566844547</c:v>
                </c:pt>
                <c:pt idx="3">
                  <c:v>184.08233858296455</c:v>
                </c:pt>
                <c:pt idx="4">
                  <c:v>159.20885780885783</c:v>
                </c:pt>
                <c:pt idx="5">
                  <c:v>243.24366528980676</c:v>
                </c:pt>
                <c:pt idx="6">
                  <c:v>199.90296318868525</c:v>
                </c:pt>
                <c:pt idx="7">
                  <c:v>216.22151883692064</c:v>
                </c:pt>
              </c:numCache>
            </c:numRef>
          </c:val>
        </c:ser>
        <c:ser>
          <c:idx val="10"/>
          <c:order val="10"/>
          <c:tx>
            <c:strRef>
              <c:f>'TABELA DINÂMICA'!$L$3</c:f>
              <c:strCache>
                <c:ptCount val="1"/>
                <c:pt idx="0">
                  <c:v>Média de CICLO 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DINÂMICA'!$L$4:$L$12</c:f>
              <c:numCache>
                <c:formatCode>0</c:formatCode>
                <c:ptCount val="8"/>
                <c:pt idx="0">
                  <c:v>185.77237507192146</c:v>
                </c:pt>
                <c:pt idx="1">
                  <c:v>232.34943216254274</c:v>
                </c:pt>
                <c:pt idx="2">
                  <c:v>160.79586622195717</c:v>
                </c:pt>
                <c:pt idx="3">
                  <c:v>190.96040618574511</c:v>
                </c:pt>
                <c:pt idx="4">
                  <c:v>215.830873374991</c:v>
                </c:pt>
                <c:pt idx="5">
                  <c:v>250.98373723766608</c:v>
                </c:pt>
                <c:pt idx="6">
                  <c:v>166.86848254814061</c:v>
                </c:pt>
                <c:pt idx="7">
                  <c:v>246.00067460317462</c:v>
                </c:pt>
              </c:numCache>
            </c:numRef>
          </c:val>
        </c:ser>
        <c:ser>
          <c:idx val="11"/>
          <c:order val="11"/>
          <c:tx>
            <c:strRef>
              <c:f>'TABELA DINÂMICA'!$M$3</c:f>
              <c:strCache>
                <c:ptCount val="1"/>
                <c:pt idx="0">
                  <c:v>Média de CICLO 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DINÂMICA'!$M$4:$M$12</c:f>
              <c:numCache>
                <c:formatCode>0</c:formatCode>
                <c:ptCount val="8"/>
                <c:pt idx="0">
                  <c:v>214.59316555339277</c:v>
                </c:pt>
                <c:pt idx="1">
                  <c:v>212.21474614109093</c:v>
                </c:pt>
                <c:pt idx="2">
                  <c:v>123.14319522784299</c:v>
                </c:pt>
                <c:pt idx="3">
                  <c:v>132.27088340848587</c:v>
                </c:pt>
                <c:pt idx="4">
                  <c:v>170.41984429630438</c:v>
                </c:pt>
                <c:pt idx="5">
                  <c:v>214.66786389481931</c:v>
                </c:pt>
                <c:pt idx="6">
                  <c:v>156.03849139883476</c:v>
                </c:pt>
                <c:pt idx="7">
                  <c:v>178.9763914258871</c:v>
                </c:pt>
              </c:numCache>
            </c:numRef>
          </c:val>
        </c:ser>
        <c:ser>
          <c:idx val="12"/>
          <c:order val="12"/>
          <c:tx>
            <c:strRef>
              <c:f>'TABELA DINÂMICA'!$N$3</c:f>
              <c:strCache>
                <c:ptCount val="1"/>
                <c:pt idx="0">
                  <c:v>Média de CICLO 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'TABELA DINÂMICA'!$A$4:$A$12</c:f>
              <c:strCache>
                <c:ptCount val="8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</c:strCache>
            </c:strRef>
          </c:cat>
          <c:val>
            <c:numRef>
              <c:f>'TABELA DINÂMICA'!$N$4:$N$12</c:f>
              <c:numCache>
                <c:formatCode>0</c:formatCode>
                <c:ptCount val="8"/>
                <c:pt idx="0">
                  <c:v>262.40215597434849</c:v>
                </c:pt>
                <c:pt idx="1">
                  <c:v>303.10871819768226</c:v>
                </c:pt>
                <c:pt idx="2">
                  <c:v>203.38290546070152</c:v>
                </c:pt>
                <c:pt idx="3">
                  <c:v>239.29390185845813</c:v>
                </c:pt>
                <c:pt idx="4">
                  <c:v>323.38980864766512</c:v>
                </c:pt>
                <c:pt idx="5">
                  <c:v>326.46675212843132</c:v>
                </c:pt>
                <c:pt idx="6">
                  <c:v>256.60808304323768</c:v>
                </c:pt>
                <c:pt idx="7">
                  <c:v>311.90330825332046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0359568"/>
        <c:axId val="299725904"/>
      </c:barChart>
      <c:catAx>
        <c:axId val="30035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9725904"/>
        <c:crosses val="autoZero"/>
        <c:auto val="1"/>
        <c:lblAlgn val="ctr"/>
        <c:lblOffset val="100"/>
        <c:noMultiLvlLbl val="0"/>
      </c:catAx>
      <c:valAx>
        <c:axId val="29972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035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2</xdr:row>
      <xdr:rowOff>114299</xdr:rowOff>
    </xdr:from>
    <xdr:to>
      <xdr:col>10</xdr:col>
      <xdr:colOff>571500</xdr:colOff>
      <xdr:row>13</xdr:row>
      <xdr:rowOff>47624</xdr:rowOff>
    </xdr:to>
    <xdr:sp macro="" textlink="">
      <xdr:nvSpPr>
        <xdr:cNvPr id="3" name="Retângulo de cantos arredondados 2"/>
        <xdr:cNvSpPr/>
      </xdr:nvSpPr>
      <xdr:spPr>
        <a:xfrm>
          <a:off x="952500" y="495299"/>
          <a:ext cx="5715000" cy="202882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342900</xdr:colOff>
      <xdr:row>2</xdr:row>
      <xdr:rowOff>9525</xdr:rowOff>
    </xdr:from>
    <xdr:to>
      <xdr:col>10</xdr:col>
      <xdr:colOff>542925</xdr:colOff>
      <xdr:row>14</xdr:row>
      <xdr:rowOff>76200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I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II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IV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V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VI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VII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IFE ANTIGO"/>
      <sheetName val="SANTO ANTONIO"/>
      <sheetName val="COELHOS"/>
      <sheetName val="PAISSANDU"/>
      <sheetName val="CABANGA"/>
      <sheetName val="SANTO AMARO "/>
      <sheetName val="ILHA DO LEITE"/>
      <sheetName val="SOLEDADE"/>
      <sheetName val="SÃO JOSÉ"/>
      <sheetName val="ILHA JOANA BEZERRA"/>
      <sheetName val="BOA VISTA"/>
    </sheetNames>
    <sheetDataSet>
      <sheetData sheetId="0">
        <row r="31">
          <cell r="H31">
            <v>153.375</v>
          </cell>
          <cell r="K31">
            <v>122.6875</v>
          </cell>
          <cell r="N31">
            <v>93.13333333333334</v>
          </cell>
          <cell r="Q31">
            <v>319.46666666666664</v>
          </cell>
          <cell r="T31">
            <v>244.2</v>
          </cell>
          <cell r="W31">
            <v>128.23076923076923</v>
          </cell>
          <cell r="Z31">
            <v>217.4375</v>
          </cell>
          <cell r="AC31">
            <v>207.70588235294119</v>
          </cell>
          <cell r="AF31">
            <v>75.941176470588232</v>
          </cell>
          <cell r="AI31">
            <v>168.875</v>
          </cell>
          <cell r="AL31">
            <v>179.23529411764707</v>
          </cell>
          <cell r="AO31">
            <v>256.35294117647061</v>
          </cell>
          <cell r="AR31">
            <v>210.64705882352942</v>
          </cell>
          <cell r="AU31">
            <v>114.29411764705883</v>
          </cell>
          <cell r="AX31">
            <v>151.625</v>
          </cell>
          <cell r="BA31">
            <v>113</v>
          </cell>
          <cell r="BD31">
            <v>111.05882352941177</v>
          </cell>
          <cell r="BG31">
            <v>166.5625</v>
          </cell>
          <cell r="BJ31">
            <v>103.05882352941177</v>
          </cell>
          <cell r="BM31" t="e">
            <v>#DIV/0!</v>
          </cell>
          <cell r="BP31" t="e">
            <v>#DIV/0!</v>
          </cell>
          <cell r="BS31" t="e">
            <v>#DIV/0!</v>
          </cell>
          <cell r="BV31" t="e">
            <v>#DIV/0!</v>
          </cell>
          <cell r="BY31" t="e">
            <v>#DIV/0!</v>
          </cell>
          <cell r="CB31" t="e">
            <v>#DIV/0!</v>
          </cell>
          <cell r="CE31" t="e">
            <v>#DIV/0!</v>
          </cell>
        </row>
        <row r="33">
          <cell r="B33">
            <v>1</v>
          </cell>
        </row>
        <row r="34">
          <cell r="B34">
            <v>14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1</v>
          </cell>
        </row>
        <row r="39">
          <cell r="B39">
            <v>17</v>
          </cell>
        </row>
        <row r="40">
          <cell r="B40">
            <v>50520</v>
          </cell>
        </row>
      </sheetData>
      <sheetData sheetId="1">
        <row r="27">
          <cell r="H27">
            <v>330.6</v>
          </cell>
          <cell r="K27">
            <v>303.69230769230768</v>
          </cell>
          <cell r="N27">
            <v>470.38461538461536</v>
          </cell>
          <cell r="Q27">
            <v>394</v>
          </cell>
          <cell r="T27">
            <v>87.583333333333329</v>
          </cell>
          <cell r="W27">
            <v>174.5</v>
          </cell>
          <cell r="Z27">
            <v>60.727272727272727</v>
          </cell>
          <cell r="AC27">
            <v>157.25</v>
          </cell>
          <cell r="AF27">
            <v>83.230769230769226</v>
          </cell>
          <cell r="AI27">
            <v>144.09090909090909</v>
          </cell>
          <cell r="AL27">
            <v>126.77777777777777</v>
          </cell>
          <cell r="AO27">
            <v>163.25</v>
          </cell>
          <cell r="AR27">
            <v>62.416666666666664</v>
          </cell>
          <cell r="AU27">
            <v>126</v>
          </cell>
          <cell r="AX27">
            <v>91.545454545454547</v>
          </cell>
          <cell r="BA27">
            <v>93.307692307692307</v>
          </cell>
          <cell r="BD27">
            <v>63.727272727272727</v>
          </cell>
          <cell r="BG27">
            <v>87.2</v>
          </cell>
          <cell r="BJ27">
            <v>131.33333333333334</v>
          </cell>
          <cell r="BM27" t="e">
            <v>#DIV/0!</v>
          </cell>
          <cell r="BP27" t="e">
            <v>#DIV/0!</v>
          </cell>
          <cell r="BS27" t="e">
            <v>#DIV/0!</v>
          </cell>
          <cell r="BV27" t="e">
            <v>#DIV/0!</v>
          </cell>
          <cell r="BY27" t="e">
            <v>#DIV/0!</v>
          </cell>
          <cell r="CB27" t="e">
            <v>#DIV/0!</v>
          </cell>
          <cell r="CE27" t="e">
            <v>#DIV/0!</v>
          </cell>
        </row>
        <row r="29">
          <cell r="B29">
            <v>4</v>
          </cell>
        </row>
        <row r="30">
          <cell r="B30">
            <v>3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</v>
          </cell>
        </row>
        <row r="35">
          <cell r="B35">
            <v>13</v>
          </cell>
        </row>
        <row r="36">
          <cell r="B36">
            <v>35359</v>
          </cell>
        </row>
      </sheetData>
      <sheetData sheetId="2">
        <row r="26">
          <cell r="H26">
            <v>129.36363636363637</v>
          </cell>
          <cell r="K26">
            <v>114.27272727272727</v>
          </cell>
          <cell r="N26">
            <v>263.36363636363637</v>
          </cell>
          <cell r="Q26">
            <v>410.91666666666669</v>
          </cell>
          <cell r="T26">
            <v>126.25</v>
          </cell>
          <cell r="W26">
            <v>215.08333333333334</v>
          </cell>
          <cell r="Z26">
            <v>200.41666666666666</v>
          </cell>
          <cell r="AC26">
            <v>169.41666666666666</v>
          </cell>
          <cell r="AF26">
            <v>99.545454545454547</v>
          </cell>
          <cell r="AI26">
            <v>184.91666666666666</v>
          </cell>
          <cell r="AL26">
            <v>152.45454545454547</v>
          </cell>
          <cell r="AO26">
            <v>263.41666666666669</v>
          </cell>
          <cell r="AR26">
            <v>327.08333333333331</v>
          </cell>
          <cell r="AU26">
            <v>140.09090909090909</v>
          </cell>
          <cell r="AX26">
            <v>192.33333333333334</v>
          </cell>
          <cell r="BA26">
            <v>206.75</v>
          </cell>
          <cell r="BD26">
            <v>315.41666666666669</v>
          </cell>
          <cell r="BG26">
            <v>341.08333333333331</v>
          </cell>
          <cell r="BJ26">
            <v>174.66666666666666</v>
          </cell>
          <cell r="BM26" t="e">
            <v>#DIV/0!</v>
          </cell>
          <cell r="BP26" t="e">
            <v>#DIV/0!</v>
          </cell>
          <cell r="BS26" t="e">
            <v>#DIV/0!</v>
          </cell>
          <cell r="BV26" t="e">
            <v>#DIV/0!</v>
          </cell>
          <cell r="BY26" t="e">
            <v>#DIV/0!</v>
          </cell>
          <cell r="CB26" t="e">
            <v>#DIV/0!</v>
          </cell>
          <cell r="CE26" t="e">
            <v>#DIV/0!</v>
          </cell>
        </row>
        <row r="28">
          <cell r="B28">
            <v>0</v>
          </cell>
        </row>
        <row r="29">
          <cell r="B29">
            <v>6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4">
          <cell r="B34">
            <v>12</v>
          </cell>
        </row>
        <row r="35">
          <cell r="B35">
            <v>47423</v>
          </cell>
        </row>
      </sheetData>
      <sheetData sheetId="3">
        <row r="20">
          <cell r="H20">
            <v>338.16666666666669</v>
          </cell>
          <cell r="K20">
            <v>276.16666666666669</v>
          </cell>
          <cell r="N20">
            <v>431.83333333333331</v>
          </cell>
          <cell r="Q20">
            <v>471.83333333333331</v>
          </cell>
          <cell r="T20">
            <v>473.16666666666669</v>
          </cell>
          <cell r="W20">
            <v>344.83333333333331</v>
          </cell>
          <cell r="Z20">
            <v>375.5</v>
          </cell>
          <cell r="AC20">
            <v>569.66666666666663</v>
          </cell>
          <cell r="AF20">
            <v>293.16666666666669</v>
          </cell>
          <cell r="AI20">
            <v>466.16666666666669</v>
          </cell>
          <cell r="AL20">
            <v>417.33333333333331</v>
          </cell>
          <cell r="AO20">
            <v>339.5</v>
          </cell>
          <cell r="AR20">
            <v>222.66666666666666</v>
          </cell>
          <cell r="AU20">
            <v>171.83333333333334</v>
          </cell>
          <cell r="AX20">
            <v>138</v>
          </cell>
          <cell r="BA20">
            <v>173.33333333333334</v>
          </cell>
          <cell r="BD20">
            <v>188.83333333333334</v>
          </cell>
          <cell r="BG20">
            <v>112.16666666666667</v>
          </cell>
          <cell r="BJ20">
            <v>158.4</v>
          </cell>
          <cell r="BM20" t="e">
            <v>#DIV/0!</v>
          </cell>
          <cell r="BP20" t="e">
            <v>#DIV/0!</v>
          </cell>
          <cell r="BS20" t="e">
            <v>#DIV/0!</v>
          </cell>
          <cell r="BV20" t="e">
            <v>#DIV/0!</v>
          </cell>
          <cell r="BY20" t="e">
            <v>#DIV/0!</v>
          </cell>
          <cell r="CB20" t="e">
            <v>#DIV/0!</v>
          </cell>
          <cell r="CE20" t="e">
            <v>#DIV/0!</v>
          </cell>
        </row>
        <row r="23">
          <cell r="B23">
            <v>0</v>
          </cell>
        </row>
        <row r="24">
          <cell r="B24">
            <v>1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9">
          <cell r="B29">
            <v>6</v>
          </cell>
        </row>
        <row r="30">
          <cell r="B30">
            <v>35617</v>
          </cell>
        </row>
      </sheetData>
      <sheetData sheetId="4">
        <row r="27">
          <cell r="H27">
            <v>75.400000000000006</v>
          </cell>
          <cell r="K27">
            <v>109.23076923076923</v>
          </cell>
          <cell r="N27">
            <v>159.84615384615384</v>
          </cell>
          <cell r="Q27">
            <v>112.30769230769231</v>
          </cell>
          <cell r="T27">
            <v>190.66666666666666</v>
          </cell>
          <cell r="W27">
            <v>77.583333333333329</v>
          </cell>
          <cell r="Z27">
            <v>146.09090909090909</v>
          </cell>
          <cell r="AC27">
            <v>180.66666666666666</v>
          </cell>
          <cell r="AF27">
            <v>71</v>
          </cell>
          <cell r="AI27">
            <v>214.66666666666666</v>
          </cell>
          <cell r="AL27">
            <v>264.61538461538464</v>
          </cell>
          <cell r="AO27">
            <v>196.33333333333334</v>
          </cell>
          <cell r="AR27">
            <v>80.181818181818187</v>
          </cell>
          <cell r="AU27">
            <v>50.75</v>
          </cell>
          <cell r="AX27">
            <v>296.84615384615387</v>
          </cell>
          <cell r="BA27">
            <v>106.15384615384616</v>
          </cell>
          <cell r="BD27">
            <v>90.538461538461533</v>
          </cell>
          <cell r="BG27">
            <v>147</v>
          </cell>
          <cell r="BJ27">
            <v>85.230769230769226</v>
          </cell>
          <cell r="BM27" t="e">
            <v>#DIV/0!</v>
          </cell>
          <cell r="BP27" t="e">
            <v>#DIV/0!</v>
          </cell>
          <cell r="BS27" t="e">
            <v>#DIV/0!</v>
          </cell>
          <cell r="BV27" t="e">
            <v>#DIV/0!</v>
          </cell>
          <cell r="BY27" t="e">
            <v>#DIV/0!</v>
          </cell>
          <cell r="CB27" t="e">
            <v>#DIV/0!</v>
          </cell>
          <cell r="CE27" t="e">
            <v>#DIV/0!</v>
          </cell>
        </row>
        <row r="30">
          <cell r="B30">
            <v>3</v>
          </cell>
        </row>
        <row r="31">
          <cell r="B31">
            <v>10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3</v>
          </cell>
        </row>
        <row r="36">
          <cell r="B36">
            <v>13</v>
          </cell>
        </row>
        <row r="37">
          <cell r="B37">
            <v>32856</v>
          </cell>
        </row>
      </sheetData>
      <sheetData sheetId="5">
        <row r="98">
          <cell r="H98">
            <v>193.51807228915663</v>
          </cell>
          <cell r="K98">
            <v>183.65432098765433</v>
          </cell>
          <cell r="N98">
            <v>272.51190476190476</v>
          </cell>
          <cell r="Q98">
            <v>422.36585365853659</v>
          </cell>
          <cell r="T98">
            <v>260.52439024390242</v>
          </cell>
          <cell r="W98">
            <v>326.78048780487802</v>
          </cell>
          <cell r="Z98">
            <v>210.92682926829269</v>
          </cell>
          <cell r="AC98">
            <v>182.10256410256412</v>
          </cell>
          <cell r="AF98">
            <v>150.26506024096386</v>
          </cell>
          <cell r="AI98">
            <v>277.22222222222223</v>
          </cell>
          <cell r="AL98">
            <v>360.46987951807228</v>
          </cell>
          <cell r="AO98">
            <v>298.73493975903614</v>
          </cell>
          <cell r="AR98">
            <v>235.97590361445782</v>
          </cell>
          <cell r="AU98">
            <v>197.11904761904762</v>
          </cell>
          <cell r="AX98">
            <v>234.24096385542168</v>
          </cell>
          <cell r="BA98">
            <v>180.85542168674698</v>
          </cell>
          <cell r="BD98">
            <v>180.40740740740742</v>
          </cell>
          <cell r="BG98">
            <v>136.39240506329114</v>
          </cell>
          <cell r="BJ98">
            <v>196.9156626506024</v>
          </cell>
          <cell r="BM98" t="e">
            <v>#DIV/0!</v>
          </cell>
          <cell r="BP98" t="e">
            <v>#DIV/0!</v>
          </cell>
          <cell r="BS98" t="e">
            <v>#DIV/0!</v>
          </cell>
          <cell r="BV98" t="e">
            <v>#DIV/0!</v>
          </cell>
          <cell r="BY98" t="e">
            <v>#DIV/0!</v>
          </cell>
          <cell r="CB98" t="e">
            <v>#DIV/0!</v>
          </cell>
          <cell r="CE98" t="e">
            <v>#DIV/0!</v>
          </cell>
        </row>
        <row r="101">
          <cell r="B101">
            <v>10</v>
          </cell>
        </row>
        <row r="102">
          <cell r="B102">
            <v>12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5</v>
          </cell>
        </row>
        <row r="107">
          <cell r="B107">
            <v>84</v>
          </cell>
        </row>
        <row r="108">
          <cell r="B108">
            <v>370092</v>
          </cell>
        </row>
      </sheetData>
      <sheetData sheetId="6">
        <row r="20">
          <cell r="H20">
            <v>296.25</v>
          </cell>
          <cell r="K20">
            <v>216.83333333333334</v>
          </cell>
          <cell r="N20">
            <v>431.33333333333331</v>
          </cell>
          <cell r="Q20">
            <v>267.33333333333331</v>
          </cell>
          <cell r="T20">
            <v>472.83333333333331</v>
          </cell>
          <cell r="W20">
            <v>413.83333333333331</v>
          </cell>
          <cell r="Z20">
            <v>214</v>
          </cell>
          <cell r="AC20">
            <v>222.83333333333334</v>
          </cell>
          <cell r="AF20">
            <v>78.333333333333329</v>
          </cell>
          <cell r="AI20">
            <v>265</v>
          </cell>
          <cell r="AL20">
            <v>433.66666666666669</v>
          </cell>
          <cell r="AO20">
            <v>255</v>
          </cell>
          <cell r="AR20">
            <v>177.8</v>
          </cell>
          <cell r="AU20" t="str">
            <v/>
          </cell>
          <cell r="AX20">
            <v>190.16666666666666</v>
          </cell>
          <cell r="BA20">
            <v>190.33333333333334</v>
          </cell>
          <cell r="BD20">
            <v>201</v>
          </cell>
          <cell r="BG20">
            <v>104.83333333333333</v>
          </cell>
          <cell r="BJ20">
            <v>243.16666666666666</v>
          </cell>
          <cell r="BM20" t="e">
            <v>#DIV/0!</v>
          </cell>
          <cell r="BP20" t="e">
            <v>#DIV/0!</v>
          </cell>
          <cell r="BS20" t="e">
            <v>#DIV/0!</v>
          </cell>
          <cell r="BV20" t="e">
            <v>#DIV/0!</v>
          </cell>
          <cell r="BY20" t="e">
            <v>#DIV/0!</v>
          </cell>
          <cell r="CB20" t="e">
            <v>#DIV/0!</v>
          </cell>
          <cell r="CE20" t="e">
            <v>#DIV/0!</v>
          </cell>
        </row>
        <row r="22">
          <cell r="B22">
            <v>3</v>
          </cell>
        </row>
        <row r="23">
          <cell r="B23">
            <v>3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1</v>
          </cell>
        </row>
        <row r="28">
          <cell r="B28">
            <v>6</v>
          </cell>
        </row>
        <row r="29">
          <cell r="B29">
            <v>27909</v>
          </cell>
        </row>
      </sheetData>
      <sheetData sheetId="7">
        <row r="23">
          <cell r="H23">
            <v>72</v>
          </cell>
          <cell r="K23">
            <v>329.44444444444446</v>
          </cell>
          <cell r="N23">
            <v>423.88888888888891</v>
          </cell>
          <cell r="Q23">
            <v>355.77777777777777</v>
          </cell>
          <cell r="T23">
            <v>314</v>
          </cell>
          <cell r="W23">
            <v>451.75</v>
          </cell>
          <cell r="Z23">
            <v>186.44444444444446</v>
          </cell>
          <cell r="AC23">
            <v>211</v>
          </cell>
          <cell r="AF23">
            <v>93.375</v>
          </cell>
          <cell r="AI23">
            <v>198.11111111111111</v>
          </cell>
          <cell r="AL23">
            <v>183.44444444444446</v>
          </cell>
          <cell r="AO23">
            <v>251.55555555555554</v>
          </cell>
          <cell r="AR23">
            <v>235.44444444444446</v>
          </cell>
          <cell r="AU23">
            <v>109.66666666666667</v>
          </cell>
          <cell r="AX23">
            <v>142.88888888888889</v>
          </cell>
          <cell r="BA23">
            <v>91.625</v>
          </cell>
          <cell r="BD23">
            <v>110</v>
          </cell>
          <cell r="BG23">
            <v>146.11111111111111</v>
          </cell>
          <cell r="BJ23">
            <v>145.77777777777777</v>
          </cell>
          <cell r="BM23" t="e">
            <v>#DIV/0!</v>
          </cell>
          <cell r="BP23" t="e">
            <v>#DIV/0!</v>
          </cell>
          <cell r="BS23" t="e">
            <v>#DIV/0!</v>
          </cell>
          <cell r="BV23" t="e">
            <v>#DIV/0!</v>
          </cell>
          <cell r="BY23" t="e">
            <v>#DIV/0!</v>
          </cell>
          <cell r="CB23" t="e">
            <v>#DIV/0!</v>
          </cell>
          <cell r="CE23" t="e">
            <v>#DIV/0!</v>
          </cell>
        </row>
        <row r="26">
          <cell r="B26">
            <v>0</v>
          </cell>
        </row>
        <row r="27">
          <cell r="B27">
            <v>2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2">
          <cell r="B32">
            <v>9</v>
          </cell>
        </row>
        <row r="33">
          <cell r="B33">
            <v>35614</v>
          </cell>
        </row>
      </sheetData>
      <sheetData sheetId="8">
        <row r="61">
          <cell r="H61">
            <v>176.60869565217391</v>
          </cell>
          <cell r="K61">
            <v>136.38636363636363</v>
          </cell>
          <cell r="N61">
            <v>225.97435897435898</v>
          </cell>
          <cell r="Q61">
            <v>158.65217391304347</v>
          </cell>
          <cell r="T61">
            <v>145.37777777777777</v>
          </cell>
          <cell r="W61">
            <v>214.8095238095238</v>
          </cell>
          <cell r="Z61">
            <v>129.78571428571428</v>
          </cell>
          <cell r="AC61">
            <v>185.46341463414635</v>
          </cell>
          <cell r="AF61">
            <v>130.5</v>
          </cell>
          <cell r="AI61">
            <v>271.23913043478262</v>
          </cell>
          <cell r="AL61">
            <v>285.69565217391306</v>
          </cell>
          <cell r="AO61">
            <v>267.39999999999998</v>
          </cell>
          <cell r="AR61">
            <v>107.26086956521739</v>
          </cell>
          <cell r="AU61">
            <v>190.02127659574469</v>
          </cell>
          <cell r="AX61">
            <v>178.13043478260869</v>
          </cell>
          <cell r="BA61">
            <v>173.84090909090909</v>
          </cell>
          <cell r="BD61">
            <v>173.77272727272728</v>
          </cell>
          <cell r="BG61">
            <v>157.42222222222222</v>
          </cell>
          <cell r="BJ61">
            <v>176.62222222222223</v>
          </cell>
          <cell r="BM61" t="e">
            <v>#DIV/0!</v>
          </cell>
          <cell r="BP61" t="e">
            <v>#DIV/0!</v>
          </cell>
          <cell r="BS61" t="e">
            <v>#DIV/0!</v>
          </cell>
          <cell r="BV61" t="e">
            <v>#DIV/0!</v>
          </cell>
          <cell r="BY61" t="e">
            <v>#DIV/0!</v>
          </cell>
          <cell r="CB61" t="e">
            <v>#DIV/0!</v>
          </cell>
          <cell r="CE61" t="e">
            <v>#DIV/0!</v>
          </cell>
        </row>
        <row r="66">
          <cell r="B66">
            <v>14</v>
          </cell>
        </row>
        <row r="67">
          <cell r="B67">
            <v>18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11</v>
          </cell>
        </row>
        <row r="72">
          <cell r="B72">
            <v>47</v>
          </cell>
        </row>
        <row r="73">
          <cell r="B73">
            <v>154374</v>
          </cell>
        </row>
      </sheetData>
      <sheetData sheetId="9">
        <row r="36">
          <cell r="H36">
            <v>104.66666666666667</v>
          </cell>
          <cell r="K36">
            <v>225.9</v>
          </cell>
          <cell r="N36">
            <v>267.5</v>
          </cell>
          <cell r="Q36">
            <v>276.18181818181819</v>
          </cell>
          <cell r="T36">
            <v>203.04545454545453</v>
          </cell>
          <cell r="W36">
            <v>286.22727272727275</v>
          </cell>
          <cell r="Z36">
            <v>272.38095238095241</v>
          </cell>
          <cell r="AC36">
            <v>194.52380952380952</v>
          </cell>
          <cell r="AF36">
            <v>125.63636363636364</v>
          </cell>
          <cell r="AI36">
            <v>186.36363636363637</v>
          </cell>
          <cell r="AL36">
            <v>242.72727272727272</v>
          </cell>
          <cell r="AO36">
            <v>220.09090909090909</v>
          </cell>
          <cell r="AR36">
            <v>111.95454545454545</v>
          </cell>
          <cell r="AU36">
            <v>121.05</v>
          </cell>
          <cell r="AX36">
            <v>168</v>
          </cell>
          <cell r="BA36">
            <v>232.73684210526315</v>
          </cell>
          <cell r="BD36">
            <v>283.14285714285717</v>
          </cell>
          <cell r="BG36">
            <v>251.31818181818181</v>
          </cell>
          <cell r="BJ36">
            <v>175.59090909090909</v>
          </cell>
          <cell r="BM36" t="e">
            <v>#DIV/0!</v>
          </cell>
          <cell r="BP36" t="e">
            <v>#DIV/0!</v>
          </cell>
          <cell r="BS36" t="e">
            <v>#DIV/0!</v>
          </cell>
          <cell r="BV36" t="e">
            <v>#DIV/0!</v>
          </cell>
          <cell r="BY36" t="e">
            <v>#DIV/0!</v>
          </cell>
          <cell r="CB36" t="e">
            <v>#DIV/0!</v>
          </cell>
          <cell r="CE36" t="e">
            <v>#DIV/0!</v>
          </cell>
        </row>
        <row r="41">
          <cell r="B41">
            <v>0</v>
          </cell>
        </row>
        <row r="42">
          <cell r="B42">
            <v>4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7">
          <cell r="B47">
            <v>22</v>
          </cell>
        </row>
        <row r="48">
          <cell r="B48">
            <v>84632</v>
          </cell>
        </row>
      </sheetData>
      <sheetData sheetId="10">
        <row r="59">
          <cell r="G59">
            <v>207.32499999999999</v>
          </cell>
          <cell r="J59">
            <v>256.16279069767444</v>
          </cell>
          <cell r="M59">
            <v>334.95555555555558</v>
          </cell>
          <cell r="P59">
            <v>353.44444444444446</v>
          </cell>
          <cell r="S59">
            <v>190.11627906976744</v>
          </cell>
          <cell r="V59">
            <v>282.79487179487177</v>
          </cell>
          <cell r="Y59">
            <v>246.3095238095238</v>
          </cell>
          <cell r="AB59">
            <v>308.51162790697674</v>
          </cell>
          <cell r="AE59">
            <v>163.27272727272728</v>
          </cell>
          <cell r="AH59">
            <v>272.93181818181819</v>
          </cell>
          <cell r="AK59">
            <v>366.7906976744186</v>
          </cell>
          <cell r="AN59">
            <v>327.67441860465118</v>
          </cell>
          <cell r="AQ59">
            <v>228.72727272727272</v>
          </cell>
          <cell r="AT59">
            <v>203.11904761904762</v>
          </cell>
          <cell r="AW59">
            <v>280.95555555555558</v>
          </cell>
          <cell r="AZ59">
            <v>219.26666666666668</v>
          </cell>
          <cell r="BC59">
            <v>267.95238095238096</v>
          </cell>
          <cell r="BF59">
            <v>222.20454545454547</v>
          </cell>
          <cell r="BI59">
            <v>214.5952380952381</v>
          </cell>
          <cell r="BL59" t="e">
            <v>#DIV/0!</v>
          </cell>
          <cell r="BO59" t="e">
            <v>#DIV/0!</v>
          </cell>
          <cell r="BR59" t="e">
            <v>#DIV/0!</v>
          </cell>
          <cell r="BU59" t="e">
            <v>#DIV/0!</v>
          </cell>
          <cell r="BX59" t="e">
            <v>#DIV/0!</v>
          </cell>
          <cell r="CA59" t="e">
            <v>#DIV/0!</v>
          </cell>
          <cell r="CD59" t="e">
            <v>#DIV/0!</v>
          </cell>
        </row>
        <row r="63">
          <cell r="B63">
            <v>4</v>
          </cell>
        </row>
        <row r="64">
          <cell r="B64">
            <v>14</v>
          </cell>
        </row>
        <row r="65">
          <cell r="B65">
            <v>1</v>
          </cell>
        </row>
        <row r="66">
          <cell r="B66">
            <v>0</v>
          </cell>
        </row>
        <row r="67">
          <cell r="B67">
            <v>7</v>
          </cell>
        </row>
        <row r="69">
          <cell r="B69">
            <v>45</v>
          </cell>
        </row>
        <row r="70">
          <cell r="B70">
            <v>213305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SARINHO"/>
      <sheetName val="LINHA DO TIRO"/>
      <sheetName val="ENCRUZILHADA"/>
      <sheetName val="DOIS UNIDOS"/>
      <sheetName val="ÁGUA FRIA"/>
      <sheetName val="CAJUEIRO"/>
      <sheetName val="BEBERIBE"/>
      <sheetName val="PORTO DA MADEIRA"/>
      <sheetName val="FUNDÃO"/>
      <sheetName val="HIPODROMO"/>
      <sheetName val="TORREÃO"/>
      <sheetName val="BOMBA DO HEMETERIO"/>
      <sheetName val="CAMPINA DO BARRETO"/>
      <sheetName val="ARRUDA"/>
      <sheetName val="PONTO DE PARADA"/>
      <sheetName val="PEIXINHOS"/>
      <sheetName val="ALTO SANTA TEREZINHA"/>
      <sheetName val="CAMPO GRANDE"/>
    </sheetNames>
    <sheetDataSet>
      <sheetData sheetId="0">
        <row r="21">
          <cell r="H21">
            <v>221.14285714285714</v>
          </cell>
          <cell r="K21">
            <v>315.14285714285717</v>
          </cell>
          <cell r="N21">
            <v>146.14285714285714</v>
          </cell>
          <cell r="Q21">
            <v>217.28571428571428</v>
          </cell>
          <cell r="T21">
            <v>298.85714285714283</v>
          </cell>
          <cell r="W21">
            <v>199.14285714285714</v>
          </cell>
          <cell r="Z21">
            <v>250.14285714285714</v>
          </cell>
          <cell r="AC21">
            <v>156.85714285714286</v>
          </cell>
          <cell r="AF21">
            <v>160.28571428571428</v>
          </cell>
          <cell r="AI21">
            <v>93</v>
          </cell>
          <cell r="AL21">
            <v>329.5</v>
          </cell>
          <cell r="AO21">
            <v>198.16666666666666</v>
          </cell>
          <cell r="AR21">
            <v>236.83333333333334</v>
          </cell>
          <cell r="AU21">
            <v>129.14285714285714</v>
          </cell>
          <cell r="AX21">
            <v>196.4</v>
          </cell>
          <cell r="BA21">
            <v>178.33333333333334</v>
          </cell>
          <cell r="BD21">
            <v>153.42857142857142</v>
          </cell>
          <cell r="BG21">
            <v>78.285714285714292</v>
          </cell>
          <cell r="BJ21">
            <v>219.57142857142858</v>
          </cell>
          <cell r="BM21" t="e">
            <v>#DIV/0!</v>
          </cell>
          <cell r="BP21" t="e">
            <v>#DIV/0!</v>
          </cell>
          <cell r="BS21" t="e">
            <v>#DIV/0!</v>
          </cell>
          <cell r="BV21" t="e">
            <v>#DIV/0!</v>
          </cell>
          <cell r="BY21" t="e">
            <v>#DIV/0!</v>
          </cell>
          <cell r="CB21" t="e">
            <v>#DIV/0!</v>
          </cell>
          <cell r="CE21" t="e">
            <v>#DIV/0!</v>
          </cell>
        </row>
        <row r="23">
          <cell r="B23">
            <v>2</v>
          </cell>
        </row>
        <row r="24">
          <cell r="B24">
            <v>2</v>
          </cell>
        </row>
        <row r="25">
          <cell r="B25">
            <v>0</v>
          </cell>
        </row>
        <row r="26">
          <cell r="B26">
            <v>1</v>
          </cell>
        </row>
        <row r="27">
          <cell r="B27">
            <v>0</v>
          </cell>
        </row>
        <row r="29">
          <cell r="B29">
            <v>7</v>
          </cell>
        </row>
        <row r="30">
          <cell r="B30">
            <v>25108</v>
          </cell>
        </row>
      </sheetData>
      <sheetData sheetId="1">
        <row r="42">
          <cell r="H42">
            <v>310.67857142857144</v>
          </cell>
          <cell r="K42">
            <v>291.14285714285717</v>
          </cell>
          <cell r="N42">
            <v>273.46428571428572</v>
          </cell>
          <cell r="Q42">
            <v>354.40740740740739</v>
          </cell>
          <cell r="T42">
            <v>430.48</v>
          </cell>
          <cell r="W42">
            <v>336.21428571428572</v>
          </cell>
          <cell r="Z42">
            <v>300.35714285714283</v>
          </cell>
          <cell r="AC42">
            <v>402.78571428571428</v>
          </cell>
          <cell r="AF42">
            <v>222.82142857142858</v>
          </cell>
          <cell r="AI42">
            <v>324</v>
          </cell>
          <cell r="AL42">
            <v>516.51851851851848</v>
          </cell>
          <cell r="AO42">
            <v>238.88888888888889</v>
          </cell>
          <cell r="AR42">
            <v>519</v>
          </cell>
          <cell r="AU42">
            <v>247.53571428571428</v>
          </cell>
          <cell r="AX42">
            <v>374.18518518518516</v>
          </cell>
          <cell r="BA42">
            <v>432.59259259259261</v>
          </cell>
          <cell r="BD42">
            <v>373.92857142857144</v>
          </cell>
          <cell r="BG42">
            <v>161.07142857142858</v>
          </cell>
          <cell r="BJ42">
            <v>295.10714285714283</v>
          </cell>
          <cell r="BM42" t="e">
            <v>#DIV/0!</v>
          </cell>
          <cell r="BP42" t="e">
            <v>#DIV/0!</v>
          </cell>
          <cell r="BS42" t="e">
            <v>#DIV/0!</v>
          </cell>
          <cell r="BV42" t="e">
            <v>#DIV/0!</v>
          </cell>
          <cell r="BY42" t="e">
            <v>#DIV/0!</v>
          </cell>
          <cell r="CB42" t="e">
            <v>#DIV/0!</v>
          </cell>
          <cell r="CE42" t="e">
            <v>#DIV/0!</v>
          </cell>
        </row>
        <row r="46">
          <cell r="B46">
            <v>3</v>
          </cell>
        </row>
        <row r="52">
          <cell r="B52">
            <v>28</v>
          </cell>
        </row>
        <row r="53">
          <cell r="B53">
            <v>175099</v>
          </cell>
        </row>
      </sheetData>
      <sheetData sheetId="2">
        <row r="40">
          <cell r="H40">
            <v>276.23809523809524</v>
          </cell>
          <cell r="K40">
            <v>228.53846153846155</v>
          </cell>
          <cell r="N40">
            <v>484.5</v>
          </cell>
          <cell r="Q40">
            <v>255.42307692307693</v>
          </cell>
          <cell r="T40">
            <v>331.76923076923077</v>
          </cell>
          <cell r="W40">
            <v>322</v>
          </cell>
          <cell r="Z40">
            <v>203.96</v>
          </cell>
          <cell r="AC40">
            <v>271.44</v>
          </cell>
          <cell r="AF40">
            <v>254.56</v>
          </cell>
          <cell r="AI40">
            <v>281.22727272727275</v>
          </cell>
          <cell r="AL40">
            <v>426.22727272727275</v>
          </cell>
          <cell r="AO40">
            <v>456</v>
          </cell>
          <cell r="AR40">
            <v>343.91666666666669</v>
          </cell>
          <cell r="AU40">
            <v>418.56521739130437</v>
          </cell>
          <cell r="AX40">
            <v>337.96</v>
          </cell>
          <cell r="BA40">
            <v>327.34615384615387</v>
          </cell>
          <cell r="BD40">
            <v>222.68</v>
          </cell>
          <cell r="BG40">
            <v>124.29166666666667</v>
          </cell>
          <cell r="BJ40">
            <v>146.76190476190476</v>
          </cell>
          <cell r="BM40" t="e">
            <v>#DIV/0!</v>
          </cell>
          <cell r="BP40" t="e">
            <v>#DIV/0!</v>
          </cell>
          <cell r="BS40" t="e">
            <v>#DIV/0!</v>
          </cell>
          <cell r="BV40" t="e">
            <v>#DIV/0!</v>
          </cell>
          <cell r="BY40" t="e">
            <v>#DIV/0!</v>
          </cell>
          <cell r="CB40" t="e">
            <v>#DIV/0!</v>
          </cell>
          <cell r="CE40" t="e">
            <v>#DIV/0!</v>
          </cell>
        </row>
        <row r="43">
          <cell r="B43">
            <v>17</v>
          </cell>
        </row>
        <row r="44">
          <cell r="B44">
            <v>8</v>
          </cell>
        </row>
        <row r="45">
          <cell r="B45">
            <v>2</v>
          </cell>
        </row>
        <row r="46">
          <cell r="B46">
            <v>0</v>
          </cell>
        </row>
        <row r="47">
          <cell r="B47">
            <v>10</v>
          </cell>
        </row>
        <row r="49">
          <cell r="B49">
            <v>26</v>
          </cell>
        </row>
        <row r="50">
          <cell r="B50">
            <v>137140</v>
          </cell>
        </row>
      </sheetData>
      <sheetData sheetId="3">
        <row r="82">
          <cell r="H82">
            <v>173.58333333333334</v>
          </cell>
          <cell r="K82">
            <v>187.18032786885246</v>
          </cell>
          <cell r="N82">
            <v>344.625</v>
          </cell>
          <cell r="Q82">
            <v>343.31147540983608</v>
          </cell>
          <cell r="T82">
            <v>284.28813559322032</v>
          </cell>
          <cell r="W82">
            <v>273.10909090909092</v>
          </cell>
          <cell r="Z82">
            <v>312.21311475409834</v>
          </cell>
          <cell r="AC82">
            <v>229.57142857142858</v>
          </cell>
          <cell r="AF82">
            <v>166.515625</v>
          </cell>
          <cell r="AI82">
            <v>349.19354838709677</v>
          </cell>
          <cell r="AL82">
            <v>303.82089552238807</v>
          </cell>
          <cell r="AO82">
            <v>242.0625</v>
          </cell>
          <cell r="AR82">
            <v>272.30158730158729</v>
          </cell>
          <cell r="AU82">
            <v>206.90625</v>
          </cell>
          <cell r="AX82">
            <v>293.74193548387098</v>
          </cell>
          <cell r="BA82">
            <v>214.56923076923076</v>
          </cell>
          <cell r="BD82">
            <v>193.23076923076923</v>
          </cell>
          <cell r="BG82">
            <v>216.50769230769231</v>
          </cell>
          <cell r="BJ82">
            <v>243.87878787878788</v>
          </cell>
          <cell r="BM82" t="e">
            <v>#DIV/0!</v>
          </cell>
          <cell r="BP82" t="e">
            <v>#DIV/0!</v>
          </cell>
          <cell r="BS82" t="e">
            <v>#DIV/0!</v>
          </cell>
          <cell r="BV82" t="e">
            <v>#DIV/0!</v>
          </cell>
          <cell r="BY82" t="e">
            <v>#DIV/0!</v>
          </cell>
          <cell r="CB82" t="e">
            <v>#DIV/0!</v>
          </cell>
          <cell r="CE82" t="e">
            <v>#DIV/0!</v>
          </cell>
        </row>
        <row r="86">
          <cell r="B86">
            <v>64</v>
          </cell>
        </row>
        <row r="87">
          <cell r="B87">
            <v>31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49</v>
          </cell>
        </row>
        <row r="92">
          <cell r="B92">
            <v>68</v>
          </cell>
        </row>
        <row r="93">
          <cell r="B93">
            <v>300816</v>
          </cell>
        </row>
      </sheetData>
      <sheetData sheetId="4">
        <row r="78">
          <cell r="H78">
            <v>242.20689655172413</v>
          </cell>
          <cell r="K78">
            <v>211.59322033898306</v>
          </cell>
          <cell r="N78">
            <v>348.35593220338984</v>
          </cell>
          <cell r="Q78">
            <v>440.85714285714283</v>
          </cell>
          <cell r="T78">
            <v>365.90163934426232</v>
          </cell>
          <cell r="W78">
            <v>309.3</v>
          </cell>
          <cell r="Z78">
            <v>501.58730158730157</v>
          </cell>
          <cell r="AC78">
            <v>299</v>
          </cell>
          <cell r="AF78">
            <v>163.12903225806451</v>
          </cell>
          <cell r="AI78">
            <v>299.1904761904762</v>
          </cell>
          <cell r="AL78">
            <v>396.21311475409834</v>
          </cell>
          <cell r="AO78">
            <v>291.32758620689657</v>
          </cell>
          <cell r="AR78">
            <v>460.08333333333331</v>
          </cell>
          <cell r="AU78">
            <v>316.328125</v>
          </cell>
          <cell r="AX78">
            <v>386.74193548387098</v>
          </cell>
          <cell r="BA78">
            <v>348.87931034482756</v>
          </cell>
          <cell r="BD78">
            <v>381.6</v>
          </cell>
          <cell r="BG78">
            <v>384.55</v>
          </cell>
          <cell r="BJ78">
            <v>257.29824561403507</v>
          </cell>
          <cell r="BM78" t="e">
            <v>#DIV/0!</v>
          </cell>
          <cell r="BP78" t="e">
            <v>#DIV/0!</v>
          </cell>
          <cell r="BS78" t="e">
            <v>#DIV/0!</v>
          </cell>
          <cell r="BV78" t="e">
            <v>#DIV/0!</v>
          </cell>
          <cell r="BY78" t="e">
            <v>#DIV/0!</v>
          </cell>
          <cell r="CB78" t="e">
            <v>#DIV/0!</v>
          </cell>
          <cell r="CE78" t="e">
            <v>#DIV/0!</v>
          </cell>
        </row>
        <row r="82">
          <cell r="B82">
            <v>33</v>
          </cell>
        </row>
        <row r="83">
          <cell r="B83">
            <v>30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30</v>
          </cell>
        </row>
        <row r="88">
          <cell r="B88">
            <v>64</v>
          </cell>
        </row>
        <row r="89">
          <cell r="B89">
            <v>387107</v>
          </cell>
        </row>
      </sheetData>
      <sheetData sheetId="5">
        <row r="31">
          <cell r="H31">
            <v>119.76470588235294</v>
          </cell>
          <cell r="K31">
            <v>126.26666666666667</v>
          </cell>
          <cell r="N31">
            <v>270.70588235294116</v>
          </cell>
          <cell r="Q31">
            <v>469.9375</v>
          </cell>
          <cell r="T31">
            <v>191.88235294117646</v>
          </cell>
          <cell r="W31">
            <v>199.9375</v>
          </cell>
          <cell r="Z31">
            <v>291.875</v>
          </cell>
          <cell r="AC31">
            <v>458.93333333333334</v>
          </cell>
          <cell r="AF31">
            <v>143.4</v>
          </cell>
          <cell r="AI31">
            <v>562.23529411764707</v>
          </cell>
          <cell r="AL31">
            <v>421.93333333333334</v>
          </cell>
          <cell r="AO31">
            <v>294.1875</v>
          </cell>
          <cell r="AR31">
            <v>304.35294117647061</v>
          </cell>
          <cell r="AU31">
            <v>312.29411764705884</v>
          </cell>
          <cell r="AX31">
            <v>273.35294117647061</v>
          </cell>
          <cell r="BA31">
            <v>236.05882352941177</v>
          </cell>
          <cell r="BD31">
            <v>215.66666666666666</v>
          </cell>
          <cell r="BG31">
            <v>249.6875</v>
          </cell>
          <cell r="BJ31">
            <v>251.5625</v>
          </cell>
          <cell r="BM31" t="e">
            <v>#DIV/0!</v>
          </cell>
          <cell r="BP31" t="e">
            <v>#DIV/0!</v>
          </cell>
          <cell r="BS31" t="e">
            <v>#DIV/0!</v>
          </cell>
          <cell r="BV31" t="e">
            <v>#DIV/0!</v>
          </cell>
          <cell r="BY31" t="e">
            <v>#DIV/0!</v>
          </cell>
          <cell r="CB31" t="e">
            <v>#DIV/0!</v>
          </cell>
          <cell r="CE31" t="e">
            <v>#DIV/0!</v>
          </cell>
        </row>
        <row r="34">
          <cell r="B34">
            <v>6</v>
          </cell>
        </row>
        <row r="35">
          <cell r="B35">
            <v>8</v>
          </cell>
        </row>
        <row r="36">
          <cell r="B36">
            <v>1</v>
          </cell>
        </row>
        <row r="37">
          <cell r="B37">
            <v>0</v>
          </cell>
        </row>
        <row r="38">
          <cell r="B38">
            <v>8</v>
          </cell>
        </row>
        <row r="40">
          <cell r="B40">
            <v>17</v>
          </cell>
        </row>
        <row r="41">
          <cell r="B41">
            <v>87209</v>
          </cell>
        </row>
      </sheetData>
      <sheetData sheetId="6">
        <row r="31">
          <cell r="H31">
            <v>418.64705882352939</v>
          </cell>
          <cell r="K31">
            <v>242.94117647058823</v>
          </cell>
          <cell r="N31">
            <v>319.70588235294116</v>
          </cell>
          <cell r="Q31">
            <v>300.11764705882354</v>
          </cell>
          <cell r="T31">
            <v>330.47058823529414</v>
          </cell>
          <cell r="W31">
            <v>218.29411764705881</v>
          </cell>
          <cell r="Z31">
            <v>569.35294117647061</v>
          </cell>
          <cell r="AC31">
            <v>373.76470588235293</v>
          </cell>
          <cell r="AF31">
            <v>127.25</v>
          </cell>
          <cell r="AI31">
            <v>156.58823529411765</v>
          </cell>
          <cell r="AL31">
            <v>197.29411764705881</v>
          </cell>
          <cell r="AO31">
            <v>413.29411764705884</v>
          </cell>
          <cell r="AR31">
            <v>315.8235294117647</v>
          </cell>
          <cell r="AU31">
            <v>339.5625</v>
          </cell>
          <cell r="AX31">
            <v>350.47058823529414</v>
          </cell>
          <cell r="BA31">
            <v>312.52941176470586</v>
          </cell>
          <cell r="BD31">
            <v>281.23529411764707</v>
          </cell>
          <cell r="BG31">
            <v>283.41176470588238</v>
          </cell>
          <cell r="BJ31">
            <v>179</v>
          </cell>
          <cell r="BM31" t="e">
            <v>#DIV/0!</v>
          </cell>
          <cell r="BP31" t="e">
            <v>#DIV/0!</v>
          </cell>
          <cell r="BS31" t="e">
            <v>#DIV/0!</v>
          </cell>
          <cell r="BV31" t="e">
            <v>#DIV/0!</v>
          </cell>
          <cell r="BY31" t="e">
            <v>#DIV/0!</v>
          </cell>
          <cell r="CB31" t="e">
            <v>#DIV/0!</v>
          </cell>
          <cell r="CE31" t="e">
            <v>#DIV/0!</v>
          </cell>
        </row>
        <row r="34">
          <cell r="B34">
            <v>0</v>
          </cell>
        </row>
        <row r="35">
          <cell r="B35">
            <v>2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1</v>
          </cell>
        </row>
        <row r="40">
          <cell r="B40">
            <v>17</v>
          </cell>
        </row>
        <row r="41">
          <cell r="B41">
            <v>96939</v>
          </cell>
        </row>
      </sheetData>
      <sheetData sheetId="7">
        <row r="27">
          <cell r="H27">
            <v>245.75</v>
          </cell>
          <cell r="K27">
            <v>218.6</v>
          </cell>
          <cell r="N27">
            <v>372.69230769230768</v>
          </cell>
          <cell r="Q27">
            <v>417.53846153846155</v>
          </cell>
          <cell r="T27">
            <v>304.83333333333331</v>
          </cell>
          <cell r="W27">
            <v>378.25</v>
          </cell>
          <cell r="Z27">
            <v>174.83333333333334</v>
          </cell>
          <cell r="AC27">
            <v>219.69230769230768</v>
          </cell>
          <cell r="AF27">
            <v>194.76923076923077</v>
          </cell>
          <cell r="AI27">
            <v>276.8</v>
          </cell>
          <cell r="AL27">
            <v>274.90909090909093</v>
          </cell>
          <cell r="AO27">
            <v>174.25</v>
          </cell>
          <cell r="AR27">
            <v>200.23076923076923</v>
          </cell>
          <cell r="AU27">
            <v>164.38461538461539</v>
          </cell>
          <cell r="AX27">
            <v>238.69230769230768</v>
          </cell>
          <cell r="BA27">
            <v>234.61538461538461</v>
          </cell>
          <cell r="BD27">
            <v>243.83333333333334</v>
          </cell>
          <cell r="BG27">
            <v>395.76923076923077</v>
          </cell>
          <cell r="BJ27">
            <v>178.5</v>
          </cell>
          <cell r="BM27" t="e">
            <v>#DIV/0!</v>
          </cell>
          <cell r="BP27" t="e">
            <v>#DIV/0!</v>
          </cell>
          <cell r="BS27" t="e">
            <v>#DIV/0!</v>
          </cell>
          <cell r="BV27" t="e">
            <v>#DIV/0!</v>
          </cell>
          <cell r="BY27" t="e">
            <v>#DIV/0!</v>
          </cell>
          <cell r="CB27" t="e">
            <v>#DIV/0!</v>
          </cell>
          <cell r="CE27" t="e">
            <v>#DIV/0!</v>
          </cell>
        </row>
        <row r="30">
          <cell r="B30">
            <v>8</v>
          </cell>
        </row>
        <row r="31">
          <cell r="B31">
            <v>6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3</v>
          </cell>
        </row>
        <row r="36">
          <cell r="B36">
            <v>13</v>
          </cell>
        </row>
        <row r="37">
          <cell r="B37">
            <v>60080</v>
          </cell>
        </row>
      </sheetData>
      <sheetData sheetId="8">
        <row r="30">
          <cell r="H30">
            <v>163.4375</v>
          </cell>
          <cell r="K30">
            <v>220.1875</v>
          </cell>
          <cell r="N30">
            <v>457.4375</v>
          </cell>
          <cell r="Q30">
            <v>283.39999999999998</v>
          </cell>
          <cell r="T30">
            <v>203.2</v>
          </cell>
          <cell r="W30">
            <v>226.375</v>
          </cell>
          <cell r="Z30">
            <v>537.8125</v>
          </cell>
          <cell r="AC30">
            <v>262.9375</v>
          </cell>
          <cell r="AF30">
            <v>134.5</v>
          </cell>
          <cell r="AI30">
            <v>367</v>
          </cell>
          <cell r="AL30">
            <v>434.5</v>
          </cell>
          <cell r="AO30">
            <v>269.625</v>
          </cell>
          <cell r="AR30">
            <v>292.3125</v>
          </cell>
          <cell r="AU30">
            <v>277.46666666666664</v>
          </cell>
          <cell r="AX30">
            <v>196.625</v>
          </cell>
          <cell r="BA30">
            <v>281.9375</v>
          </cell>
          <cell r="BD30">
            <v>244.4375</v>
          </cell>
          <cell r="BG30">
            <v>306.75</v>
          </cell>
          <cell r="BJ30">
            <v>166.3125</v>
          </cell>
          <cell r="BM30" t="e">
            <v>#DIV/0!</v>
          </cell>
          <cell r="BP30" t="e">
            <v>#DIV/0!</v>
          </cell>
          <cell r="BS30" t="e">
            <v>#DIV/0!</v>
          </cell>
          <cell r="BV30" t="e">
            <v>#DIV/0!</v>
          </cell>
          <cell r="BY30" t="e">
            <v>#DIV/0!</v>
          </cell>
          <cell r="CB30" t="e">
            <v>#DIV/0!</v>
          </cell>
          <cell r="CE30" t="e">
            <v>#DIV/0!</v>
          </cell>
        </row>
        <row r="33">
          <cell r="B33">
            <v>1</v>
          </cell>
        </row>
        <row r="34">
          <cell r="B34">
            <v>2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2</v>
          </cell>
        </row>
        <row r="39">
          <cell r="B39">
            <v>16</v>
          </cell>
        </row>
        <row r="40">
          <cell r="B40">
            <v>84456</v>
          </cell>
        </row>
      </sheetData>
      <sheetData sheetId="9">
        <row r="23">
          <cell r="H23">
            <v>164.44444444444446</v>
          </cell>
          <cell r="K23">
            <v>212.75</v>
          </cell>
          <cell r="N23">
            <v>241.375</v>
          </cell>
          <cell r="Q23">
            <v>309.55555555555554</v>
          </cell>
          <cell r="T23">
            <v>176.55555555555554</v>
          </cell>
          <cell r="W23">
            <v>225.11111111111111</v>
          </cell>
          <cell r="Z23">
            <v>153.44444444444446</v>
          </cell>
          <cell r="AC23">
            <v>163.625</v>
          </cell>
          <cell r="AF23">
            <v>240.22222222222223</v>
          </cell>
          <cell r="AI23">
            <v>238.55555555555554</v>
          </cell>
          <cell r="AL23">
            <v>362.88888888888891</v>
          </cell>
          <cell r="AO23">
            <v>109.33333333333333</v>
          </cell>
          <cell r="AR23">
            <v>208.88888888888889</v>
          </cell>
          <cell r="AU23">
            <v>187.44444444444446</v>
          </cell>
          <cell r="AX23">
            <v>238</v>
          </cell>
          <cell r="BA23">
            <v>193.22222222222223</v>
          </cell>
          <cell r="BD23">
            <v>282.44444444444446</v>
          </cell>
          <cell r="BG23">
            <v>129.11111111111111</v>
          </cell>
          <cell r="BJ23">
            <v>139.33333333333334</v>
          </cell>
          <cell r="BM23" t="e">
            <v>#DIV/0!</v>
          </cell>
          <cell r="BP23" t="e">
            <v>#DIV/0!</v>
          </cell>
          <cell r="BS23" t="e">
            <v>#DIV/0!</v>
          </cell>
          <cell r="BV23" t="e">
            <v>#DIV/0!</v>
          </cell>
          <cell r="BY23" t="e">
            <v>#DIV/0!</v>
          </cell>
          <cell r="CB23" t="e">
            <v>#DIV/0!</v>
          </cell>
          <cell r="CE23" t="e">
            <v>#DIV/0!</v>
          </cell>
        </row>
        <row r="27">
          <cell r="B27">
            <v>0</v>
          </cell>
        </row>
        <row r="28">
          <cell r="B28">
            <v>3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3</v>
          </cell>
        </row>
        <row r="33">
          <cell r="B33">
            <v>9</v>
          </cell>
        </row>
        <row r="34">
          <cell r="B34">
            <v>35169</v>
          </cell>
        </row>
      </sheetData>
      <sheetData sheetId="10">
        <row r="17">
          <cell r="H17">
            <v>115.33333333333333</v>
          </cell>
          <cell r="K17">
            <v>159</v>
          </cell>
          <cell r="N17">
            <v>120.33333333333333</v>
          </cell>
          <cell r="Q17">
            <v>76</v>
          </cell>
          <cell r="T17">
            <v>146.66666666666666</v>
          </cell>
          <cell r="W17">
            <v>219.33333333333334</v>
          </cell>
          <cell r="Z17">
            <v>91</v>
          </cell>
          <cell r="AC17">
            <v>83.333333333333329</v>
          </cell>
          <cell r="AF17">
            <v>202</v>
          </cell>
          <cell r="AI17">
            <v>93.333333333333329</v>
          </cell>
          <cell r="AL17">
            <v>142.66666666666666</v>
          </cell>
          <cell r="AO17">
            <v>281.33333333333331</v>
          </cell>
          <cell r="AR17">
            <v>213.33333333333334</v>
          </cell>
          <cell r="AU17">
            <v>291</v>
          </cell>
          <cell r="AX17">
            <v>167</v>
          </cell>
          <cell r="BA17">
            <v>49.333333333333336</v>
          </cell>
          <cell r="BD17">
            <v>157.66666666666666</v>
          </cell>
          <cell r="BG17">
            <v>107</v>
          </cell>
          <cell r="BJ17">
            <v>74</v>
          </cell>
          <cell r="BM17" t="e">
            <v>#DIV/0!</v>
          </cell>
          <cell r="BP17" t="e">
            <v>#DIV/0!</v>
          </cell>
          <cell r="BS17" t="e">
            <v>#DIV/0!</v>
          </cell>
          <cell r="BV17" t="e">
            <v>#DIV/0!</v>
          </cell>
          <cell r="BY17" t="e">
            <v>#DIV/0!</v>
          </cell>
          <cell r="CB17" t="e">
            <v>#DIV/0!</v>
          </cell>
          <cell r="CE17" t="e">
            <v>#DIV/0!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6">
          <cell r="B26">
            <v>3</v>
          </cell>
        </row>
        <row r="27">
          <cell r="B27">
            <v>8369</v>
          </cell>
        </row>
      </sheetData>
      <sheetData sheetId="11">
        <row r="35">
          <cell r="H35">
            <v>90.78947368421052</v>
          </cell>
          <cell r="K35">
            <v>38.9375</v>
          </cell>
          <cell r="N35">
            <v>191</v>
          </cell>
          <cell r="Q35">
            <v>120.85</v>
          </cell>
          <cell r="T35">
            <v>113.95</v>
          </cell>
          <cell r="W35">
            <v>144.11111111111111</v>
          </cell>
          <cell r="Z35">
            <v>149.6</v>
          </cell>
          <cell r="AC35">
            <v>224.35294117647058</v>
          </cell>
          <cell r="AF35">
            <v>156.9047619047619</v>
          </cell>
          <cell r="AI35">
            <v>280.66666666666669</v>
          </cell>
          <cell r="AL35">
            <v>357.6</v>
          </cell>
          <cell r="AO35">
            <v>152.76190476190476</v>
          </cell>
          <cell r="AR35">
            <v>257.52380952380952</v>
          </cell>
          <cell r="AU35">
            <v>196.36842105263159</v>
          </cell>
          <cell r="AX35">
            <v>218.95238095238096</v>
          </cell>
          <cell r="BA35">
            <v>139.05882352941177</v>
          </cell>
          <cell r="BD35">
            <v>194.05263157894737</v>
          </cell>
          <cell r="BG35">
            <v>253</v>
          </cell>
          <cell r="BJ35">
            <v>86.705882352941174</v>
          </cell>
          <cell r="BM35" t="e">
            <v>#DIV/0!</v>
          </cell>
          <cell r="BP35" t="e">
            <v>#DIV/0!</v>
          </cell>
          <cell r="BS35" t="e">
            <v>#DIV/0!</v>
          </cell>
          <cell r="BV35" t="e">
            <v>#DIV/0!</v>
          </cell>
          <cell r="BY35" t="e">
            <v>#DIV/0!</v>
          </cell>
          <cell r="CB35" t="e">
            <v>#DIV/0!</v>
          </cell>
          <cell r="CE35" t="e">
            <v>#DIV/0!</v>
          </cell>
        </row>
        <row r="38">
          <cell r="B38">
            <v>11</v>
          </cell>
        </row>
        <row r="39">
          <cell r="B39">
            <v>11</v>
          </cell>
        </row>
        <row r="40">
          <cell r="B40">
            <v>1</v>
          </cell>
        </row>
        <row r="41">
          <cell r="B41">
            <v>0</v>
          </cell>
        </row>
        <row r="42">
          <cell r="B42">
            <v>14</v>
          </cell>
        </row>
        <row r="44">
          <cell r="B44">
            <v>21</v>
          </cell>
        </row>
        <row r="45">
          <cell r="B45">
            <v>65629</v>
          </cell>
        </row>
      </sheetData>
      <sheetData sheetId="12">
        <row r="38">
          <cell r="H38">
            <v>196.54166666666666</v>
          </cell>
          <cell r="K38">
            <v>203.86956521739131</v>
          </cell>
          <cell r="N38">
            <v>517.63636363636363</v>
          </cell>
          <cell r="Q38">
            <v>542.04166666666663</v>
          </cell>
          <cell r="T38">
            <v>433.1</v>
          </cell>
          <cell r="W38">
            <v>282.09090909090907</v>
          </cell>
          <cell r="Z38">
            <v>481.47826086956519</v>
          </cell>
          <cell r="AC38">
            <v>389.33333333333331</v>
          </cell>
          <cell r="AF38">
            <v>192.7391304347826</v>
          </cell>
          <cell r="AI38">
            <v>579.95652173913038</v>
          </cell>
          <cell r="AL38">
            <v>584.08333333333337</v>
          </cell>
          <cell r="AO38">
            <v>516.875</v>
          </cell>
          <cell r="AR38">
            <v>205.36363636363637</v>
          </cell>
          <cell r="AU38">
            <v>299.41666666666669</v>
          </cell>
          <cell r="AX38">
            <v>417.16666666666669</v>
          </cell>
          <cell r="BA38">
            <v>238.5</v>
          </cell>
          <cell r="BD38">
            <v>494.95454545454544</v>
          </cell>
          <cell r="BG38">
            <v>301.23809523809524</v>
          </cell>
          <cell r="BJ38">
            <v>325.30434782608694</v>
          </cell>
          <cell r="BM38" t="e">
            <v>#DIV/0!</v>
          </cell>
          <cell r="BP38" t="e">
            <v>#DIV/0!</v>
          </cell>
          <cell r="BS38" t="e">
            <v>#DIV/0!</v>
          </cell>
          <cell r="BV38" t="e">
            <v>#DIV/0!</v>
          </cell>
          <cell r="BY38" t="e">
            <v>#DIV/0!</v>
          </cell>
          <cell r="CB38" t="e">
            <v>#DIV/0!</v>
          </cell>
          <cell r="CE38" t="e">
            <v>#DIV/0!</v>
          </cell>
        </row>
        <row r="42">
          <cell r="B42">
            <v>14</v>
          </cell>
        </row>
        <row r="43">
          <cell r="B43">
            <v>7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14</v>
          </cell>
        </row>
        <row r="48">
          <cell r="B48">
            <v>24</v>
          </cell>
        </row>
        <row r="49">
          <cell r="B49">
            <v>164944</v>
          </cell>
        </row>
      </sheetData>
      <sheetData sheetId="13">
        <row r="36">
          <cell r="H36">
            <v>165.90909090909091</v>
          </cell>
          <cell r="K36">
            <v>151.33333333333334</v>
          </cell>
          <cell r="N36">
            <v>258.47619047619048</v>
          </cell>
          <cell r="Q36">
            <v>587.04761904761904</v>
          </cell>
          <cell r="T36">
            <v>364.13636363636363</v>
          </cell>
          <cell r="W36">
            <v>273.05</v>
          </cell>
          <cell r="Z36">
            <v>396.14285714285717</v>
          </cell>
          <cell r="AC36">
            <v>240.63157894736841</v>
          </cell>
          <cell r="AF36">
            <v>284.66666666666669</v>
          </cell>
          <cell r="AI36">
            <v>301.95</v>
          </cell>
          <cell r="AL36">
            <v>399.1</v>
          </cell>
          <cell r="AO36">
            <v>301.95</v>
          </cell>
          <cell r="AR36">
            <v>299.36842105263156</v>
          </cell>
          <cell r="AU36">
            <v>376</v>
          </cell>
          <cell r="AX36">
            <v>354.31578947368422</v>
          </cell>
          <cell r="BA36">
            <v>316.26315789473682</v>
          </cell>
          <cell r="BD36">
            <v>387.75</v>
          </cell>
          <cell r="BG36">
            <v>265.14999999999998</v>
          </cell>
          <cell r="BJ36">
            <v>313.05</v>
          </cell>
          <cell r="BM36" t="e">
            <v>#DIV/0!</v>
          </cell>
          <cell r="BP36" t="e">
            <v>#DIV/0!</v>
          </cell>
          <cell r="BS36" t="e">
            <v>#DIV/0!</v>
          </cell>
          <cell r="BV36" t="e">
            <v>#DIV/0!</v>
          </cell>
          <cell r="BY36" t="e">
            <v>#DIV/0!</v>
          </cell>
          <cell r="CB36" t="e">
            <v>#DIV/0!</v>
          </cell>
          <cell r="CE36" t="e">
            <v>#DIV/0!</v>
          </cell>
        </row>
        <row r="39">
          <cell r="B39">
            <v>24</v>
          </cell>
        </row>
        <row r="40">
          <cell r="B40">
            <v>7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14</v>
          </cell>
        </row>
        <row r="45">
          <cell r="B45">
            <v>22</v>
          </cell>
        </row>
        <row r="46">
          <cell r="B46">
            <v>122253</v>
          </cell>
        </row>
      </sheetData>
      <sheetData sheetId="14">
        <row r="18">
          <cell r="H18">
            <v>338.25</v>
          </cell>
          <cell r="K18">
            <v>209.25</v>
          </cell>
          <cell r="N18">
            <v>1244.75</v>
          </cell>
          <cell r="Q18">
            <v>348</v>
          </cell>
          <cell r="T18">
            <v>186.25</v>
          </cell>
          <cell r="W18">
            <v>372.75</v>
          </cell>
          <cell r="Z18">
            <v>323</v>
          </cell>
          <cell r="AC18">
            <v>418.33333333333331</v>
          </cell>
          <cell r="AF18">
            <v>291.75</v>
          </cell>
          <cell r="AI18">
            <v>440</v>
          </cell>
          <cell r="AL18">
            <v>199.66666666666666</v>
          </cell>
          <cell r="AO18">
            <v>379</v>
          </cell>
          <cell r="AR18">
            <v>803</v>
          </cell>
          <cell r="AU18">
            <v>284</v>
          </cell>
          <cell r="AX18">
            <v>585.75</v>
          </cell>
          <cell r="BA18">
            <v>256.25</v>
          </cell>
          <cell r="BD18">
            <v>284.5</v>
          </cell>
          <cell r="BG18">
            <v>296</v>
          </cell>
          <cell r="BJ18">
            <v>221.75</v>
          </cell>
          <cell r="BM18" t="e">
            <v>#DIV/0!</v>
          </cell>
          <cell r="BP18" t="e">
            <v>#DIV/0!</v>
          </cell>
          <cell r="BS18" t="e">
            <v>#DIV/0!</v>
          </cell>
          <cell r="BV18" t="e">
            <v>#DIV/0!</v>
          </cell>
          <cell r="BY18" t="e">
            <v>#DIV/0!</v>
          </cell>
          <cell r="CB18" t="e">
            <v>#DIV/0!</v>
          </cell>
          <cell r="CE18" t="e">
            <v>#DIV/0!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0</v>
          </cell>
        </row>
        <row r="25">
          <cell r="B25">
            <v>3</v>
          </cell>
        </row>
        <row r="27">
          <cell r="B27">
            <v>4</v>
          </cell>
        </row>
        <row r="28">
          <cell r="B28">
            <v>28508</v>
          </cell>
        </row>
      </sheetData>
      <sheetData sheetId="15">
        <row r="29">
          <cell r="H29">
            <v>221.84615384615384</v>
          </cell>
          <cell r="K29">
            <v>192.46666666666667</v>
          </cell>
          <cell r="N29">
            <v>352.5</v>
          </cell>
          <cell r="Q29">
            <v>691.84615384615381</v>
          </cell>
          <cell r="T29">
            <v>329.07142857142856</v>
          </cell>
          <cell r="W29">
            <v>274.73333333333335</v>
          </cell>
          <cell r="Z29">
            <v>395.66666666666669</v>
          </cell>
          <cell r="AC29">
            <v>250.8</v>
          </cell>
          <cell r="AF29">
            <v>266.93333333333334</v>
          </cell>
          <cell r="AI29">
            <v>219.93333333333334</v>
          </cell>
          <cell r="AL29">
            <v>362.93333333333334</v>
          </cell>
          <cell r="AO29">
            <v>330.73333333333335</v>
          </cell>
          <cell r="AR29">
            <v>307.92857142857144</v>
          </cell>
          <cell r="AU29">
            <v>266.14285714285717</v>
          </cell>
          <cell r="AX29">
            <v>413.64285714285717</v>
          </cell>
          <cell r="BA29">
            <v>239.26666666666668</v>
          </cell>
          <cell r="BD29">
            <v>216.07142857142858</v>
          </cell>
          <cell r="BG29">
            <v>212.14285714285714</v>
          </cell>
          <cell r="BJ29">
            <v>183.33333333333334</v>
          </cell>
          <cell r="BM29" t="e">
            <v>#DIV/0!</v>
          </cell>
          <cell r="BP29" t="e">
            <v>#DIV/0!</v>
          </cell>
          <cell r="BS29" t="e">
            <v>#DIV/0!</v>
          </cell>
          <cell r="BV29" t="e">
            <v>#DIV/0!</v>
          </cell>
          <cell r="BY29" t="e">
            <v>#DIV/0!</v>
          </cell>
          <cell r="CB29" t="e">
            <v>#DIV/0!</v>
          </cell>
          <cell r="CE29" t="e">
            <v>#DIV/0!</v>
          </cell>
        </row>
        <row r="32">
          <cell r="B32">
            <v>8</v>
          </cell>
        </row>
        <row r="33">
          <cell r="B33">
            <v>3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5</v>
          </cell>
        </row>
        <row r="38">
          <cell r="B38">
            <v>15</v>
          </cell>
        </row>
        <row r="39">
          <cell r="B39">
            <v>81445</v>
          </cell>
        </row>
      </sheetData>
      <sheetData sheetId="16">
        <row r="27">
          <cell r="H27">
            <v>254.09090909090909</v>
          </cell>
          <cell r="K27">
            <v>112.72727272727273</v>
          </cell>
          <cell r="N27">
            <v>277.33333333333331</v>
          </cell>
          <cell r="Q27">
            <v>381.75</v>
          </cell>
          <cell r="T27">
            <v>351.81818181818181</v>
          </cell>
          <cell r="W27">
            <v>789.91666666666663</v>
          </cell>
          <cell r="Z27">
            <v>496.83333333333331</v>
          </cell>
          <cell r="AC27">
            <v>247.11111111111111</v>
          </cell>
          <cell r="AF27">
            <v>114.18181818181819</v>
          </cell>
          <cell r="AI27">
            <v>228.6</v>
          </cell>
          <cell r="AL27">
            <v>315.09090909090907</v>
          </cell>
          <cell r="AO27">
            <v>449.45454545454544</v>
          </cell>
          <cell r="AR27">
            <v>297.25</v>
          </cell>
          <cell r="AU27">
            <v>358.92307692307691</v>
          </cell>
          <cell r="AX27">
            <v>231.46153846153845</v>
          </cell>
          <cell r="BA27">
            <v>216.81818181818181</v>
          </cell>
          <cell r="BD27">
            <v>188.76923076923077</v>
          </cell>
          <cell r="BG27">
            <v>201.45454545454547</v>
          </cell>
          <cell r="BJ27">
            <v>100.3</v>
          </cell>
          <cell r="BM27" t="e">
            <v>#DIV/0!</v>
          </cell>
          <cell r="BP27" t="e">
            <v>#DIV/0!</v>
          </cell>
          <cell r="BS27" t="e">
            <v>#DIV/0!</v>
          </cell>
          <cell r="BV27" t="e">
            <v>#DIV/0!</v>
          </cell>
          <cell r="BY27" t="e">
            <v>#DIV/0!</v>
          </cell>
          <cell r="CB27" t="e">
            <v>#DIV/0!</v>
          </cell>
          <cell r="CE27" t="e">
            <v>#DIV/0!</v>
          </cell>
        </row>
        <row r="30">
          <cell r="B30">
            <v>16</v>
          </cell>
        </row>
        <row r="31">
          <cell r="B31">
            <v>11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7</v>
          </cell>
        </row>
        <row r="36">
          <cell r="B36">
            <v>13</v>
          </cell>
        </row>
        <row r="37">
          <cell r="B37">
            <v>64731</v>
          </cell>
        </row>
      </sheetData>
      <sheetData sheetId="17">
        <row r="67">
          <cell r="H67">
            <v>206.02325581395348</v>
          </cell>
          <cell r="K67">
            <v>302.3488372093023</v>
          </cell>
          <cell r="N67">
            <v>575.67391304347825</v>
          </cell>
          <cell r="Q67">
            <v>417.5</v>
          </cell>
          <cell r="T67">
            <v>431.25531914893617</v>
          </cell>
          <cell r="W67">
            <v>483.62745098039215</v>
          </cell>
          <cell r="Z67">
            <v>435.87755102040819</v>
          </cell>
          <cell r="AC67">
            <v>274.89795918367349</v>
          </cell>
          <cell r="AF67">
            <v>281.9019607843137</v>
          </cell>
          <cell r="AI67">
            <v>586.60377358490564</v>
          </cell>
          <cell r="AL67">
            <v>394.94230769230768</v>
          </cell>
          <cell r="AO67">
            <v>507.1</v>
          </cell>
          <cell r="AR67">
            <v>327.40816326530614</v>
          </cell>
          <cell r="AU67">
            <v>448.14</v>
          </cell>
          <cell r="AX67">
            <v>474.91836734693879</v>
          </cell>
          <cell r="BA67">
            <v>203.55102040816325</v>
          </cell>
          <cell r="BD67">
            <v>199.69230769230768</v>
          </cell>
          <cell r="BG67">
            <v>279.26666666666665</v>
          </cell>
          <cell r="BJ67">
            <v>257.1521739130435</v>
          </cell>
          <cell r="BM67" t="e">
            <v>#DIV/0!</v>
          </cell>
          <cell r="BP67" t="e">
            <v>#DIV/0!</v>
          </cell>
          <cell r="BS67" t="e">
            <v>#DIV/0!</v>
          </cell>
          <cell r="BV67" t="e">
            <v>#DIV/0!</v>
          </cell>
          <cell r="BY67" t="e">
            <v>#DIV/0!</v>
          </cell>
          <cell r="CB67" t="e">
            <v>#DIV/0!</v>
          </cell>
          <cell r="CE67" t="e">
            <v>#DIV/0!</v>
          </cell>
        </row>
        <row r="71">
          <cell r="B71">
            <v>48</v>
          </cell>
        </row>
        <row r="72">
          <cell r="B72">
            <v>27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28</v>
          </cell>
        </row>
        <row r="77">
          <cell r="B77">
            <v>53</v>
          </cell>
        </row>
        <row r="78">
          <cell r="B78">
            <v>345142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IPUCOS"/>
      <sheetName val="DOIS IRMÃOS"/>
      <sheetName val="MONTEIRO"/>
      <sheetName val="CASA AMARELA"/>
      <sheetName val="ALTO DO MANDU"/>
      <sheetName val="CASA FORTE"/>
      <sheetName val="PARNAMIRIM"/>
      <sheetName val="SANTANA"/>
      <sheetName val="POÇO DA PANELA"/>
      <sheetName val="SITIO DOS PINTOS"/>
      <sheetName val="TAMARINEIRA"/>
      <sheetName val="AFLITOS"/>
      <sheetName val="ESPINHEIRO"/>
      <sheetName val="JAQUEIRA"/>
      <sheetName val="DERBY"/>
      <sheetName val="GRAÇAS"/>
    </sheetNames>
    <sheetDataSet>
      <sheetData sheetId="0">
        <row r="38">
          <cell r="H38">
            <v>185.38888888888889</v>
          </cell>
          <cell r="K38">
            <v>271.04545454545456</v>
          </cell>
          <cell r="N38">
            <v>399.28571428571428</v>
          </cell>
          <cell r="Q38">
            <v>742</v>
          </cell>
          <cell r="T38">
            <v>193.39130434782609</v>
          </cell>
          <cell r="W38">
            <v>314.28571428571428</v>
          </cell>
          <cell r="Z38">
            <v>163.61904761904762</v>
          </cell>
          <cell r="AC38">
            <v>196.18181818181819</v>
          </cell>
          <cell r="AF38">
            <v>131.81818181818181</v>
          </cell>
          <cell r="AI38">
            <v>174.5</v>
          </cell>
          <cell r="AL38">
            <v>407.60869565217394</v>
          </cell>
          <cell r="AO38">
            <v>210.63636363636363</v>
          </cell>
          <cell r="AR38">
            <v>173.57142857142858</v>
          </cell>
          <cell r="AU38">
            <v>166.04761904761904</v>
          </cell>
          <cell r="AX38">
            <v>293.42857142857144</v>
          </cell>
          <cell r="BA38">
            <v>270.04761904761904</v>
          </cell>
          <cell r="BD38">
            <v>213.0952380952381</v>
          </cell>
          <cell r="BG38">
            <v>246.04347826086956</v>
          </cell>
          <cell r="BJ38">
            <v>183.04761904761904</v>
          </cell>
          <cell r="BM38" t="e">
            <v>#DIV/0!</v>
          </cell>
          <cell r="BP38" t="e">
            <v>#DIV/0!</v>
          </cell>
          <cell r="BS38" t="e">
            <v>#DIV/0!</v>
          </cell>
          <cell r="BV38" t="e">
            <v>#DIV/0!</v>
          </cell>
          <cell r="BY38" t="e">
            <v>#DIV/0!</v>
          </cell>
          <cell r="CB38" t="e">
            <v>#DIV/0!</v>
          </cell>
          <cell r="CE38" t="e">
            <v>#DIV/0!</v>
          </cell>
        </row>
        <row r="42">
          <cell r="B42">
            <v>21</v>
          </cell>
        </row>
        <row r="43">
          <cell r="B43">
            <v>24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14</v>
          </cell>
        </row>
        <row r="48">
          <cell r="B48">
            <v>24</v>
          </cell>
        </row>
        <row r="49">
          <cell r="B49">
            <v>105758</v>
          </cell>
        </row>
      </sheetData>
      <sheetData sheetId="1">
        <row r="51">
          <cell r="H51">
            <v>107.75675675675676</v>
          </cell>
          <cell r="K51">
            <v>299.27027027027026</v>
          </cell>
          <cell r="N51">
            <v>307.27777777777777</v>
          </cell>
          <cell r="Q51">
            <v>291.27027027027026</v>
          </cell>
          <cell r="T51">
            <v>197.75675675675674</v>
          </cell>
          <cell r="W51">
            <v>289.29729729729729</v>
          </cell>
          <cell r="Z51">
            <v>223.41666666666666</v>
          </cell>
          <cell r="AC51">
            <v>114.30555555555556</v>
          </cell>
          <cell r="AF51">
            <v>129.51351351351352</v>
          </cell>
          <cell r="AI51">
            <v>270.25</v>
          </cell>
          <cell r="AL51">
            <v>161.51351351351352</v>
          </cell>
          <cell r="AO51">
            <v>151.83333333333334</v>
          </cell>
          <cell r="AR51">
            <v>218.75</v>
          </cell>
          <cell r="AU51">
            <v>146.18918918918919</v>
          </cell>
          <cell r="AX51">
            <v>155.02702702702703</v>
          </cell>
          <cell r="BA51">
            <v>138.27027027027026</v>
          </cell>
          <cell r="BD51">
            <v>132.37142857142857</v>
          </cell>
          <cell r="BG51">
            <v>106.25</v>
          </cell>
          <cell r="BJ51">
            <v>225.05714285714285</v>
          </cell>
          <cell r="BM51" t="e">
            <v>#DIV/0!</v>
          </cell>
          <cell r="BP51" t="e">
            <v>#DIV/0!</v>
          </cell>
          <cell r="BS51" t="e">
            <v>#DIV/0!</v>
          </cell>
          <cell r="BV51" t="e">
            <v>#DIV/0!</v>
          </cell>
          <cell r="BY51" t="e">
            <v>#DIV/0!</v>
          </cell>
          <cell r="CB51" t="e">
            <v>#DIV/0!</v>
          </cell>
          <cell r="CE51" t="e">
            <v>#DIV/0!</v>
          </cell>
        </row>
        <row r="55">
          <cell r="B55">
            <v>1</v>
          </cell>
        </row>
        <row r="56">
          <cell r="B56">
            <v>3</v>
          </cell>
        </row>
        <row r="57">
          <cell r="B57">
            <v>1</v>
          </cell>
        </row>
        <row r="58">
          <cell r="B58">
            <v>0</v>
          </cell>
        </row>
        <row r="59">
          <cell r="B59">
            <v>0</v>
          </cell>
        </row>
        <row r="61">
          <cell r="B61">
            <v>37</v>
          </cell>
        </row>
        <row r="62">
          <cell r="B62">
            <v>133087</v>
          </cell>
        </row>
      </sheetData>
      <sheetData sheetId="2">
        <row r="31">
          <cell r="H31">
            <v>189.52941176470588</v>
          </cell>
          <cell r="K31">
            <v>248.35294117647058</v>
          </cell>
          <cell r="N31">
            <v>537.58823529411768</v>
          </cell>
          <cell r="Q31">
            <v>718.11764705882354</v>
          </cell>
          <cell r="T31">
            <v>302.76470588235293</v>
          </cell>
          <cell r="W31">
            <v>631.58823529411768</v>
          </cell>
          <cell r="Z31">
            <v>562.47058823529414</v>
          </cell>
          <cell r="AC31">
            <v>724.05882352941171</v>
          </cell>
          <cell r="AF31">
            <v>342.3125</v>
          </cell>
          <cell r="AI31">
            <v>350.8235294117647</v>
          </cell>
          <cell r="AL31">
            <v>554.52941176470586</v>
          </cell>
          <cell r="AO31">
            <v>162.05882352941177</v>
          </cell>
          <cell r="AR31">
            <v>309.29411764705884</v>
          </cell>
          <cell r="AU31">
            <v>196.6</v>
          </cell>
          <cell r="AX31">
            <v>419.6</v>
          </cell>
          <cell r="BA31">
            <v>341.0625</v>
          </cell>
          <cell r="BD31">
            <v>391</v>
          </cell>
          <cell r="BG31">
            <v>321.8125</v>
          </cell>
          <cell r="BJ31">
            <v>400.5</v>
          </cell>
          <cell r="BM31" t="e">
            <v>#DIV/0!</v>
          </cell>
          <cell r="BP31" t="e">
            <v>#DIV/0!</v>
          </cell>
          <cell r="BS31" t="e">
            <v>#DIV/0!</v>
          </cell>
          <cell r="BV31" t="e">
            <v>#DIV/0!</v>
          </cell>
          <cell r="BY31" t="e">
            <v>#DIV/0!</v>
          </cell>
          <cell r="CB31" t="e">
            <v>#DIV/0!</v>
          </cell>
          <cell r="CE31" t="e">
            <v>#DIV/0!</v>
          </cell>
        </row>
        <row r="34">
          <cell r="B34">
            <v>5</v>
          </cell>
        </row>
        <row r="35">
          <cell r="B35">
            <v>4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1</v>
          </cell>
        </row>
        <row r="40">
          <cell r="B40">
            <v>17</v>
          </cell>
        </row>
        <row r="41">
          <cell r="B41">
            <v>127940</v>
          </cell>
        </row>
      </sheetData>
      <sheetData sheetId="3">
        <row r="66">
          <cell r="H66">
            <v>209.12820512820514</v>
          </cell>
          <cell r="K66">
            <v>309.83999999999997</v>
          </cell>
          <cell r="N66">
            <v>278.58823529411762</v>
          </cell>
          <cell r="Q66">
            <v>440.32</v>
          </cell>
          <cell r="T66">
            <v>274.24</v>
          </cell>
          <cell r="W66">
            <v>417.32608695652175</v>
          </cell>
          <cell r="Z66">
            <v>250.82</v>
          </cell>
          <cell r="AC66">
            <v>312.86956521739131</v>
          </cell>
          <cell r="AF66">
            <v>192.89583333333334</v>
          </cell>
          <cell r="AI66">
            <v>292.72916666666669</v>
          </cell>
          <cell r="AL66">
            <v>331.57446808510639</v>
          </cell>
          <cell r="AO66">
            <v>194.11627906976744</v>
          </cell>
          <cell r="AR66">
            <v>233.89583333333334</v>
          </cell>
          <cell r="AU66">
            <v>153.30612244897958</v>
          </cell>
          <cell r="AX66">
            <v>232.8125</v>
          </cell>
          <cell r="BA66">
            <v>240.12244897959184</v>
          </cell>
          <cell r="BD66">
            <v>238.55319148936169</v>
          </cell>
          <cell r="BG66">
            <v>137.89743589743588</v>
          </cell>
          <cell r="BJ66">
            <v>183.79166666666666</v>
          </cell>
          <cell r="BM66" t="e">
            <v>#DIV/0!</v>
          </cell>
          <cell r="BP66" t="e">
            <v>#DIV/0!</v>
          </cell>
          <cell r="BS66" t="e">
            <v>#DIV/0!</v>
          </cell>
          <cell r="BV66" t="e">
            <v>#DIV/0!</v>
          </cell>
          <cell r="BY66" t="e">
            <v>#DIV/0!</v>
          </cell>
          <cell r="CB66" t="e">
            <v>#DIV/0!</v>
          </cell>
          <cell r="CE66" t="e">
            <v>#DIV/0!</v>
          </cell>
        </row>
        <row r="70">
          <cell r="B70">
            <v>57</v>
          </cell>
        </row>
        <row r="71">
          <cell r="B71">
            <v>30</v>
          </cell>
        </row>
        <row r="72">
          <cell r="B72">
            <v>1</v>
          </cell>
        </row>
        <row r="73">
          <cell r="B73">
            <v>0</v>
          </cell>
        </row>
        <row r="74">
          <cell r="B74">
            <v>54</v>
          </cell>
        </row>
        <row r="76">
          <cell r="B76">
            <v>52</v>
          </cell>
        </row>
        <row r="77">
          <cell r="B77">
            <v>234047</v>
          </cell>
        </row>
      </sheetData>
      <sheetData sheetId="4">
        <row r="23">
          <cell r="H23">
            <v>169</v>
          </cell>
          <cell r="K23">
            <v>133.11111111111111</v>
          </cell>
          <cell r="N23">
            <v>147.88888888888889</v>
          </cell>
          <cell r="Q23">
            <v>169.11111111111111</v>
          </cell>
          <cell r="T23">
            <v>73.714285714285708</v>
          </cell>
          <cell r="W23">
            <v>179.75</v>
          </cell>
          <cell r="Z23">
            <v>175.28571428571428</v>
          </cell>
          <cell r="AC23">
            <v>94.125</v>
          </cell>
          <cell r="AF23">
            <v>16.833333333333332</v>
          </cell>
          <cell r="AI23">
            <v>129.28571428571428</v>
          </cell>
          <cell r="AL23">
            <v>159.75</v>
          </cell>
          <cell r="AO23">
            <v>257.875</v>
          </cell>
          <cell r="AR23">
            <v>336.44444444444446</v>
          </cell>
          <cell r="AU23">
            <v>83.285714285714292</v>
          </cell>
          <cell r="AX23">
            <v>262.88888888888891</v>
          </cell>
          <cell r="BA23">
            <v>139.25</v>
          </cell>
          <cell r="BD23">
            <v>104.75</v>
          </cell>
          <cell r="BG23">
            <v>82.333333333333329</v>
          </cell>
          <cell r="BJ23">
            <v>243.125</v>
          </cell>
          <cell r="BM23" t="e">
            <v>#DIV/0!</v>
          </cell>
          <cell r="BP23" t="e">
            <v>#DIV/0!</v>
          </cell>
          <cell r="BS23" t="e">
            <v>#DIV/0!</v>
          </cell>
          <cell r="BV23" t="e">
            <v>#DIV/0!</v>
          </cell>
          <cell r="BY23" t="e">
            <v>#DIV/0!</v>
          </cell>
          <cell r="CB23" t="e">
            <v>#DIV/0!</v>
          </cell>
          <cell r="CE23" t="e">
            <v>#DIV/0!</v>
          </cell>
        </row>
        <row r="26">
          <cell r="B26">
            <v>11</v>
          </cell>
        </row>
        <row r="27">
          <cell r="B27">
            <v>4</v>
          </cell>
        </row>
        <row r="28">
          <cell r="B28">
            <v>1</v>
          </cell>
        </row>
        <row r="29">
          <cell r="B29">
            <v>0</v>
          </cell>
        </row>
        <row r="30">
          <cell r="B30">
            <v>12</v>
          </cell>
        </row>
        <row r="32">
          <cell r="B32">
            <v>9</v>
          </cell>
        </row>
        <row r="33">
          <cell r="B33">
            <v>24221</v>
          </cell>
        </row>
      </sheetData>
      <sheetData sheetId="5">
        <row r="28">
          <cell r="H28">
            <v>160.58333333333334</v>
          </cell>
          <cell r="K28">
            <v>180.14285714285714</v>
          </cell>
          <cell r="N28">
            <v>265.5</v>
          </cell>
          <cell r="Q28">
            <v>280.64285714285717</v>
          </cell>
          <cell r="T28">
            <v>170.07142857142858</v>
          </cell>
          <cell r="W28">
            <v>193.30769230769232</v>
          </cell>
          <cell r="Z28">
            <v>326.5</v>
          </cell>
          <cell r="AC28">
            <v>203.71428571428572</v>
          </cell>
          <cell r="AF28">
            <v>55.642857142857146</v>
          </cell>
          <cell r="AI28">
            <v>260.78571428571428</v>
          </cell>
          <cell r="AL28">
            <v>246.35714285714286</v>
          </cell>
          <cell r="AO28">
            <v>181.92857142857142</v>
          </cell>
          <cell r="AR28">
            <v>280.38461538461536</v>
          </cell>
          <cell r="AU28">
            <v>200</v>
          </cell>
          <cell r="AX28">
            <v>138.71428571428572</v>
          </cell>
          <cell r="BA28">
            <v>417.14285714285717</v>
          </cell>
          <cell r="BD28">
            <v>164.64285714285714</v>
          </cell>
          <cell r="BG28">
            <v>149.35714285714286</v>
          </cell>
          <cell r="BJ28">
            <v>143</v>
          </cell>
          <cell r="BM28" t="e">
            <v>#DIV/0!</v>
          </cell>
          <cell r="BP28" t="e">
            <v>#DIV/0!</v>
          </cell>
          <cell r="BS28" t="e">
            <v>#DIV/0!</v>
          </cell>
          <cell r="BV28" t="e">
            <v>#DIV/0!</v>
          </cell>
          <cell r="BY28" t="e">
            <v>#DIV/0!</v>
          </cell>
          <cell r="CB28" t="e">
            <v>#DIV/0!</v>
          </cell>
          <cell r="CE28" t="e">
            <v>#DIV/0!</v>
          </cell>
        </row>
        <row r="31">
          <cell r="B31">
            <v>3</v>
          </cell>
        </row>
        <row r="32">
          <cell r="B32">
            <v>2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3</v>
          </cell>
        </row>
        <row r="37">
          <cell r="B37">
            <v>14</v>
          </cell>
        </row>
        <row r="38">
          <cell r="B38">
            <v>55263</v>
          </cell>
        </row>
      </sheetData>
      <sheetData sheetId="6">
        <row r="30">
          <cell r="H30">
            <v>149.6</v>
          </cell>
          <cell r="K30">
            <v>179.78571428571428</v>
          </cell>
          <cell r="N30">
            <v>145.4</v>
          </cell>
          <cell r="Q30">
            <v>148.06666666666666</v>
          </cell>
          <cell r="T30">
            <v>179.25</v>
          </cell>
          <cell r="W30">
            <v>132.28571428571428</v>
          </cell>
          <cell r="Z30">
            <v>141.91666666666666</v>
          </cell>
          <cell r="AC30">
            <v>186.41666666666666</v>
          </cell>
          <cell r="AF30">
            <v>56.133333333333333</v>
          </cell>
          <cell r="AI30">
            <v>133.30769230769232</v>
          </cell>
          <cell r="AL30">
            <v>261.66666666666669</v>
          </cell>
          <cell r="AO30">
            <v>144.57142857142858</v>
          </cell>
          <cell r="AR30">
            <v>124</v>
          </cell>
          <cell r="AU30">
            <v>193.6</v>
          </cell>
          <cell r="AX30">
            <v>345.07142857142856</v>
          </cell>
          <cell r="BA30">
            <v>115</v>
          </cell>
          <cell r="BD30">
            <v>123.76923076923077</v>
          </cell>
          <cell r="BG30">
            <v>82.1</v>
          </cell>
          <cell r="BJ30">
            <v>155.80000000000001</v>
          </cell>
          <cell r="BM30" t="e">
            <v>#DIV/0!</v>
          </cell>
          <cell r="BP30" t="e">
            <v>#DIV/0!</v>
          </cell>
          <cell r="BS30" t="e">
            <v>#DIV/0!</v>
          </cell>
          <cell r="BV30" t="e">
            <v>#DIV/0!</v>
          </cell>
          <cell r="BY30" t="e">
            <v>#DIV/0!</v>
          </cell>
          <cell r="CB30" t="e">
            <v>#DIV/0!</v>
          </cell>
          <cell r="CE30" t="e">
            <v>#DIV/0!</v>
          </cell>
        </row>
        <row r="33">
          <cell r="B33">
            <v>33</v>
          </cell>
        </row>
        <row r="34">
          <cell r="B34">
            <v>14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20</v>
          </cell>
        </row>
        <row r="39">
          <cell r="B39">
            <v>16</v>
          </cell>
        </row>
        <row r="40">
          <cell r="B40">
            <v>40699</v>
          </cell>
        </row>
      </sheetData>
      <sheetData sheetId="7">
        <row r="23">
          <cell r="H23">
            <v>311.625</v>
          </cell>
          <cell r="K23">
            <v>273.55555555555554</v>
          </cell>
          <cell r="N23">
            <v>366.2</v>
          </cell>
          <cell r="Q23">
            <v>660.66666666666663</v>
          </cell>
          <cell r="T23">
            <v>493.22222222222223</v>
          </cell>
          <cell r="W23">
            <v>533.22222222222217</v>
          </cell>
          <cell r="Z23">
            <v>408.77777777777777</v>
          </cell>
          <cell r="AC23">
            <v>225.875</v>
          </cell>
          <cell r="AF23">
            <v>170.77777777777777</v>
          </cell>
          <cell r="AI23">
            <v>321.22222222222223</v>
          </cell>
          <cell r="AL23">
            <v>334.22222222222223</v>
          </cell>
          <cell r="AO23">
            <v>315.55555555555554</v>
          </cell>
          <cell r="AR23">
            <v>235</v>
          </cell>
          <cell r="AU23">
            <v>173.44444444444446</v>
          </cell>
          <cell r="AX23">
            <v>395.33333333333331</v>
          </cell>
          <cell r="BA23">
            <v>214.25</v>
          </cell>
          <cell r="BD23">
            <v>229.875</v>
          </cell>
          <cell r="BG23">
            <v>343.375</v>
          </cell>
          <cell r="BJ23">
            <v>360.88888888888891</v>
          </cell>
          <cell r="BM23" t="e">
            <v>#DIV/0!</v>
          </cell>
          <cell r="BP23" t="e">
            <v>#DIV/0!</v>
          </cell>
          <cell r="BS23" t="e">
            <v>#DIV/0!</v>
          </cell>
          <cell r="BV23" t="e">
            <v>#DIV/0!</v>
          </cell>
          <cell r="BY23" t="e">
            <v>#DIV/0!</v>
          </cell>
          <cell r="CB23" t="e">
            <v>#DIV/0!</v>
          </cell>
          <cell r="CE23" t="e">
            <v>#DIV/0!</v>
          </cell>
        </row>
        <row r="26">
          <cell r="B26">
            <v>0</v>
          </cell>
        </row>
        <row r="27">
          <cell r="B27">
            <v>9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</v>
          </cell>
        </row>
        <row r="32">
          <cell r="B32">
            <v>9</v>
          </cell>
        </row>
        <row r="33">
          <cell r="B33">
            <v>54514</v>
          </cell>
        </row>
      </sheetData>
      <sheetData sheetId="8">
        <row r="32">
          <cell r="H32">
            <v>181.94444444444446</v>
          </cell>
          <cell r="K32">
            <v>240.94444444444446</v>
          </cell>
          <cell r="N32">
            <v>250.72222222222223</v>
          </cell>
          <cell r="Q32">
            <v>274.11764705882354</v>
          </cell>
          <cell r="T32">
            <v>210.1764705882353</v>
          </cell>
          <cell r="W32">
            <v>266.375</v>
          </cell>
          <cell r="Z32">
            <v>190.70588235294119</v>
          </cell>
          <cell r="AC32">
            <v>260.5625</v>
          </cell>
          <cell r="AF32">
            <v>229.14285714285714</v>
          </cell>
          <cell r="AI32">
            <v>271.5</v>
          </cell>
          <cell r="AL32">
            <v>306.55555555555554</v>
          </cell>
          <cell r="AO32">
            <v>193.83333333333334</v>
          </cell>
          <cell r="AR32">
            <v>222.16666666666666</v>
          </cell>
          <cell r="AU32">
            <v>310.61111111111109</v>
          </cell>
          <cell r="AX32">
            <v>281.11764705882354</v>
          </cell>
          <cell r="BA32">
            <v>174.83333333333334</v>
          </cell>
          <cell r="BD32">
            <v>189.33333333333334</v>
          </cell>
          <cell r="BG32">
            <v>210.4375</v>
          </cell>
          <cell r="BJ32">
            <v>189.70588235294119</v>
          </cell>
          <cell r="BM32" t="e">
            <v>#DIV/0!</v>
          </cell>
          <cell r="BP32" t="e">
            <v>#DIV/0!</v>
          </cell>
          <cell r="BS32" t="e">
            <v>#DIV/0!</v>
          </cell>
          <cell r="BV32" t="e">
            <v>#DIV/0!</v>
          </cell>
          <cell r="BY32" t="e">
            <v>#DIV/0!</v>
          </cell>
          <cell r="CB32" t="e">
            <v>#DIV/0!</v>
          </cell>
          <cell r="CE32" t="e">
            <v>#DIV/0!</v>
          </cell>
        </row>
        <row r="36">
          <cell r="B36">
            <v>7</v>
          </cell>
        </row>
        <row r="37">
          <cell r="B37">
            <v>3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2</v>
          </cell>
        </row>
        <row r="42">
          <cell r="B42">
            <v>18</v>
          </cell>
        </row>
        <row r="43">
          <cell r="B43">
            <v>76106</v>
          </cell>
        </row>
      </sheetData>
      <sheetData sheetId="9">
        <row r="40">
          <cell r="H40">
            <v>185</v>
          </cell>
          <cell r="K40">
            <v>128.65384615384616</v>
          </cell>
          <cell r="N40">
            <v>319.34615384615387</v>
          </cell>
          <cell r="Q40">
            <v>249.73076923076923</v>
          </cell>
          <cell r="T40">
            <v>159.84615384615384</v>
          </cell>
          <cell r="W40">
            <v>254.88461538461539</v>
          </cell>
          <cell r="Z40">
            <v>134.07692307692307</v>
          </cell>
          <cell r="AC40">
            <v>148.75</v>
          </cell>
          <cell r="AF40">
            <v>109.5</v>
          </cell>
          <cell r="AI40">
            <v>203.61538461538461</v>
          </cell>
          <cell r="AL40">
            <v>160.88461538461539</v>
          </cell>
          <cell r="AO40">
            <v>98.230769230769226</v>
          </cell>
          <cell r="AR40">
            <v>133.88461538461539</v>
          </cell>
          <cell r="AU40">
            <v>184.34615384615384</v>
          </cell>
          <cell r="AX40">
            <v>104.56</v>
          </cell>
          <cell r="BA40">
            <v>103.17391304347827</v>
          </cell>
          <cell r="BD40">
            <v>124.11538461538461</v>
          </cell>
          <cell r="BG40">
            <v>97.12</v>
          </cell>
          <cell r="BJ40">
            <v>99.28</v>
          </cell>
          <cell r="BM40" t="e">
            <v>#DIV/0!</v>
          </cell>
          <cell r="BP40" t="e">
            <v>#DIV/0!</v>
          </cell>
          <cell r="BS40" t="e">
            <v>#DIV/0!</v>
          </cell>
          <cell r="BV40" t="e">
            <v>#DIV/0!</v>
          </cell>
          <cell r="BY40" t="e">
            <v>#DIV/0!</v>
          </cell>
          <cell r="CB40" t="e">
            <v>#DIV/0!</v>
          </cell>
          <cell r="CE40" t="e">
            <v>#DIV/0!</v>
          </cell>
        </row>
        <row r="43">
          <cell r="B43">
            <v>2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2</v>
          </cell>
        </row>
        <row r="49">
          <cell r="B49">
            <v>26</v>
          </cell>
        </row>
        <row r="50">
          <cell r="B50">
            <v>77066</v>
          </cell>
        </row>
      </sheetData>
      <sheetData sheetId="10">
        <row r="39">
          <cell r="H39">
            <v>221.77777777777777</v>
          </cell>
          <cell r="K39">
            <v>167.31818181818181</v>
          </cell>
          <cell r="N39">
            <v>295.52173913043481</v>
          </cell>
          <cell r="Q39">
            <v>416</v>
          </cell>
          <cell r="T39">
            <v>176.04545454545453</v>
          </cell>
          <cell r="W39">
            <v>184.08695652173913</v>
          </cell>
          <cell r="Z39">
            <v>195.95833333333334</v>
          </cell>
          <cell r="AC39">
            <v>118.21052631578948</v>
          </cell>
          <cell r="AF39">
            <v>129.15</v>
          </cell>
          <cell r="AI39">
            <v>214.66666666666666</v>
          </cell>
          <cell r="AL39">
            <v>204.65217391304347</v>
          </cell>
          <cell r="AO39">
            <v>251.375</v>
          </cell>
          <cell r="AR39">
            <v>300.13043478260869</v>
          </cell>
          <cell r="AU39">
            <v>212.4</v>
          </cell>
          <cell r="AX39">
            <v>327</v>
          </cell>
          <cell r="BA39">
            <v>143.5</v>
          </cell>
          <cell r="BD39">
            <v>191.1904761904762</v>
          </cell>
          <cell r="BG39">
            <v>72.84210526315789</v>
          </cell>
          <cell r="BJ39">
            <v>202.65</v>
          </cell>
          <cell r="BM39" t="e">
            <v>#DIV/0!</v>
          </cell>
          <cell r="BP39" t="e">
            <v>#DIV/0!</v>
          </cell>
          <cell r="BS39" t="e">
            <v>#DIV/0!</v>
          </cell>
          <cell r="BV39" t="e">
            <v>#DIV/0!</v>
          </cell>
          <cell r="BY39" t="e">
            <v>#DIV/0!</v>
          </cell>
          <cell r="CB39" t="e">
            <v>#DIV/0!</v>
          </cell>
          <cell r="CE39" t="e">
            <v>#DIV/0!</v>
          </cell>
        </row>
        <row r="41">
          <cell r="B41">
            <v>38</v>
          </cell>
        </row>
        <row r="42">
          <cell r="B42">
            <v>21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35</v>
          </cell>
        </row>
        <row r="47">
          <cell r="B47">
            <v>25</v>
          </cell>
        </row>
        <row r="48">
          <cell r="B48">
            <v>88327</v>
          </cell>
        </row>
      </sheetData>
      <sheetData sheetId="11">
        <row r="22">
          <cell r="H22">
            <v>246.25</v>
          </cell>
          <cell r="K22">
            <v>151.25</v>
          </cell>
          <cell r="N22">
            <v>243</v>
          </cell>
          <cell r="Q22">
            <v>350.25</v>
          </cell>
          <cell r="T22">
            <v>135.42857142857142</v>
          </cell>
          <cell r="W22">
            <v>368.42857142857144</v>
          </cell>
          <cell r="Z22">
            <v>461.14285714285717</v>
          </cell>
          <cell r="AC22">
            <v>194.375</v>
          </cell>
          <cell r="AF22">
            <v>97.142857142857139</v>
          </cell>
          <cell r="AI22">
            <v>265.5</v>
          </cell>
          <cell r="AL22">
            <v>226.25</v>
          </cell>
          <cell r="AO22">
            <v>370</v>
          </cell>
          <cell r="AR22">
            <v>194.57142857142858</v>
          </cell>
          <cell r="AU22">
            <v>221.57142857142858</v>
          </cell>
          <cell r="AX22">
            <v>124.28571428571429</v>
          </cell>
          <cell r="BA22">
            <v>183.25</v>
          </cell>
          <cell r="BD22">
            <v>349.875</v>
          </cell>
          <cell r="BG22">
            <v>272.42857142857144</v>
          </cell>
          <cell r="BJ22">
            <v>218</v>
          </cell>
          <cell r="BM22" t="e">
            <v>#DIV/0!</v>
          </cell>
          <cell r="BP22" t="e">
            <v>#DIV/0!</v>
          </cell>
          <cell r="BS22" t="e">
            <v>#DIV/0!</v>
          </cell>
          <cell r="BV22" t="e">
            <v>#DIV/0!</v>
          </cell>
          <cell r="BY22" t="e">
            <v>#DIV/0!</v>
          </cell>
          <cell r="CB22" t="e">
            <v>#DIV/0!</v>
          </cell>
          <cell r="CE22" t="e">
            <v>#DIV/0!</v>
          </cell>
        </row>
        <row r="24">
          <cell r="B24">
            <v>5</v>
          </cell>
        </row>
        <row r="25">
          <cell r="B25">
            <v>2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4</v>
          </cell>
        </row>
        <row r="30">
          <cell r="B30">
            <v>8</v>
          </cell>
        </row>
        <row r="31">
          <cell r="B31">
            <v>35048</v>
          </cell>
        </row>
      </sheetData>
      <sheetData sheetId="12">
        <row r="31">
          <cell r="H31">
            <v>236.1875</v>
          </cell>
          <cell r="K31">
            <v>421.47058823529414</v>
          </cell>
          <cell r="N31">
            <v>253.64705882352942</v>
          </cell>
          <cell r="Q31">
            <v>572.9375</v>
          </cell>
          <cell r="T31">
            <v>471.0625</v>
          </cell>
          <cell r="W31">
            <v>491.625</v>
          </cell>
          <cell r="Z31">
            <v>658</v>
          </cell>
          <cell r="AC31">
            <v>294.64705882352939</v>
          </cell>
          <cell r="AF31">
            <v>433.76470588235293</v>
          </cell>
          <cell r="AI31">
            <v>406.41176470588238</v>
          </cell>
          <cell r="AL31">
            <v>696.05882352941171</v>
          </cell>
          <cell r="AO31">
            <v>933.11764705882354</v>
          </cell>
          <cell r="AR31">
            <v>418.1875</v>
          </cell>
          <cell r="AU31">
            <v>280.41176470588238</v>
          </cell>
          <cell r="AX31">
            <v>527.64705882352939</v>
          </cell>
          <cell r="BA31">
            <v>617.64705882352939</v>
          </cell>
          <cell r="BD31">
            <v>614.94117647058829</v>
          </cell>
          <cell r="BG31">
            <v>258.92307692307691</v>
          </cell>
          <cell r="BJ31">
            <v>189.33333333333334</v>
          </cell>
          <cell r="BM31" t="e">
            <v>#DIV/0!</v>
          </cell>
          <cell r="BP31" t="e">
            <v>#DIV/0!</v>
          </cell>
          <cell r="BS31" t="e">
            <v>#DIV/0!</v>
          </cell>
          <cell r="BV31" t="e">
            <v>#DIV/0!</v>
          </cell>
          <cell r="BY31" t="e">
            <v>#DIV/0!</v>
          </cell>
          <cell r="CB31" t="e">
            <v>#DIV/0!</v>
          </cell>
          <cell r="CE31" t="e">
            <v>#DIV/0!</v>
          </cell>
        </row>
        <row r="33">
          <cell r="B33">
            <v>9</v>
          </cell>
        </row>
        <row r="34">
          <cell r="B34">
            <v>5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9">
          <cell r="B39">
            <v>16</v>
          </cell>
        </row>
        <row r="40">
          <cell r="B40">
            <v>145020</v>
          </cell>
        </row>
      </sheetData>
      <sheetData sheetId="13">
        <row r="19">
          <cell r="H19">
            <v>178</v>
          </cell>
          <cell r="K19">
            <v>120</v>
          </cell>
          <cell r="N19">
            <v>629.4</v>
          </cell>
          <cell r="Q19">
            <v>760.6</v>
          </cell>
          <cell r="T19">
            <v>112.2</v>
          </cell>
          <cell r="W19">
            <v>408.8</v>
          </cell>
          <cell r="Z19">
            <v>129.66666666666666</v>
          </cell>
          <cell r="AC19">
            <v>69.666666666666671</v>
          </cell>
          <cell r="AF19">
            <v>87</v>
          </cell>
          <cell r="AI19">
            <v>56.75</v>
          </cell>
          <cell r="AL19">
            <v>127.75</v>
          </cell>
          <cell r="AO19">
            <v>187.25</v>
          </cell>
          <cell r="AR19">
            <v>183</v>
          </cell>
          <cell r="AU19">
            <v>197.8</v>
          </cell>
          <cell r="AX19">
            <v>276</v>
          </cell>
          <cell r="BA19">
            <v>85.25</v>
          </cell>
          <cell r="BD19">
            <v>181</v>
          </cell>
          <cell r="BG19">
            <v>14.5</v>
          </cell>
          <cell r="BJ19">
            <v>218.5</v>
          </cell>
          <cell r="BM19" t="e">
            <v>#DIV/0!</v>
          </cell>
          <cell r="BP19" t="e">
            <v>#DIV/0!</v>
          </cell>
          <cell r="BS19" t="e">
            <v>#DIV/0!</v>
          </cell>
          <cell r="BV19" t="e">
            <v>#DIV/0!</v>
          </cell>
          <cell r="BY19" t="e">
            <v>#DIV/0!</v>
          </cell>
          <cell r="CB19" t="e">
            <v>#DIV/0!</v>
          </cell>
          <cell r="CE19" t="e">
            <v>#DIV/0!</v>
          </cell>
        </row>
        <row r="21">
          <cell r="B21">
            <v>11</v>
          </cell>
        </row>
        <row r="22">
          <cell r="B22">
            <v>13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2</v>
          </cell>
        </row>
        <row r="27">
          <cell r="B27">
            <v>5</v>
          </cell>
        </row>
        <row r="28">
          <cell r="B28">
            <v>16753</v>
          </cell>
        </row>
      </sheetData>
      <sheetData sheetId="14">
        <row r="24">
          <cell r="H24">
            <v>147.30000000000001</v>
          </cell>
          <cell r="K24">
            <v>342.88888888888891</v>
          </cell>
          <cell r="N24">
            <v>184.88888888888889</v>
          </cell>
          <cell r="Q24">
            <v>432</v>
          </cell>
          <cell r="T24">
            <v>174.7</v>
          </cell>
          <cell r="W24">
            <v>198.9</v>
          </cell>
          <cell r="Z24">
            <v>439.4</v>
          </cell>
          <cell r="AC24">
            <v>271.10000000000002</v>
          </cell>
          <cell r="AF24">
            <v>144.33333333333334</v>
          </cell>
          <cell r="AI24">
            <v>307.10000000000002</v>
          </cell>
          <cell r="AL24">
            <v>479.9</v>
          </cell>
          <cell r="AO24">
            <v>328.7</v>
          </cell>
          <cell r="AR24">
            <v>290.10000000000002</v>
          </cell>
          <cell r="AU24">
            <v>181.8</v>
          </cell>
          <cell r="AX24">
            <v>215.4</v>
          </cell>
          <cell r="BA24">
            <v>223.7</v>
          </cell>
          <cell r="BD24">
            <v>140.9</v>
          </cell>
          <cell r="BG24">
            <v>204</v>
          </cell>
          <cell r="BJ24">
            <v>199.1</v>
          </cell>
          <cell r="BM24" t="e">
            <v>#DIV/0!</v>
          </cell>
          <cell r="BP24" t="e">
            <v>#DIV/0!</v>
          </cell>
          <cell r="BS24" t="e">
            <v>#DIV/0!</v>
          </cell>
          <cell r="BV24" t="e">
            <v>#DIV/0!</v>
          </cell>
          <cell r="BY24" t="e">
            <v>#DIV/0!</v>
          </cell>
          <cell r="CB24" t="e">
            <v>#DIV/0!</v>
          </cell>
          <cell r="CE24" t="e">
            <v>#DIV/0!</v>
          </cell>
        </row>
        <row r="26">
          <cell r="B26">
            <v>0</v>
          </cell>
        </row>
        <row r="27">
          <cell r="B27">
            <v>2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2">
          <cell r="B32">
            <v>10</v>
          </cell>
        </row>
        <row r="33">
          <cell r="B33">
            <v>48390</v>
          </cell>
        </row>
      </sheetData>
      <sheetData sheetId="15">
        <row r="48">
          <cell r="H48">
            <v>149.25806451612902</v>
          </cell>
          <cell r="K48">
            <v>209.06060606060606</v>
          </cell>
          <cell r="N48">
            <v>189.03125</v>
          </cell>
          <cell r="Q48">
            <v>280.70967741935482</v>
          </cell>
          <cell r="T48">
            <v>109.7741935483871</v>
          </cell>
          <cell r="W48">
            <v>187.03030303030303</v>
          </cell>
          <cell r="Z48">
            <v>275.09090909090907</v>
          </cell>
          <cell r="AC48">
            <v>105.51724137931035</v>
          </cell>
          <cell r="AF48">
            <v>144.09090909090909</v>
          </cell>
          <cell r="AI48">
            <v>154.625</v>
          </cell>
          <cell r="AL48">
            <v>219.08823529411765</v>
          </cell>
          <cell r="AO48">
            <v>132.19999999999999</v>
          </cell>
          <cell r="AR48">
            <v>199.36666666666667</v>
          </cell>
          <cell r="AU48">
            <v>168.96774193548387</v>
          </cell>
          <cell r="AX48">
            <v>232.33333333333334</v>
          </cell>
          <cell r="BA48">
            <v>128.83870967741936</v>
          </cell>
          <cell r="BD48">
            <v>186.53333333333333</v>
          </cell>
          <cell r="BG48">
            <v>156.03571428571428</v>
          </cell>
          <cell r="BJ48">
            <v>117.18518518518519</v>
          </cell>
          <cell r="BM48" t="e">
            <v>#DIV/0!</v>
          </cell>
          <cell r="BP48" t="e">
            <v>#DIV/0!</v>
          </cell>
          <cell r="BS48" t="e">
            <v>#DIV/0!</v>
          </cell>
          <cell r="BV48" t="e">
            <v>#DIV/0!</v>
          </cell>
          <cell r="BY48" t="e">
            <v>#DIV/0!</v>
          </cell>
          <cell r="CB48" t="e">
            <v>#DIV/0!</v>
          </cell>
          <cell r="CE48" t="e">
            <v>#DIV/0!</v>
          </cell>
        </row>
        <row r="50">
          <cell r="B50">
            <v>27</v>
          </cell>
        </row>
        <row r="51">
          <cell r="B51">
            <v>20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21</v>
          </cell>
        </row>
        <row r="56">
          <cell r="B56">
            <v>34</v>
          </cell>
        </row>
        <row r="57">
          <cell r="B57">
            <v>105117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. CDU"/>
      <sheetName val="V. BRASILIT"/>
      <sheetName val="V. BAIXO"/>
      <sheetName val="V. BARREIRAS"/>
      <sheetName val="V. UR-7"/>
      <sheetName val="ILHA DO RETIRO"/>
      <sheetName val="ZUMBI"/>
      <sheetName val="ENGENHO DO MEIO"/>
    </sheetNames>
    <sheetDataSet>
      <sheetData sheetId="0">
        <row r="57">
          <cell r="H57">
            <v>153.90697674418604</v>
          </cell>
          <cell r="K57">
            <v>281.35714285714283</v>
          </cell>
          <cell r="N57">
            <v>291.46511627906978</v>
          </cell>
          <cell r="Q57">
            <v>404.27906976744185</v>
          </cell>
          <cell r="T57">
            <v>190.28571428571428</v>
          </cell>
          <cell r="W57">
            <v>282.95238095238096</v>
          </cell>
          <cell r="Z57">
            <v>301.29268292682929</v>
          </cell>
          <cell r="AC57">
            <v>158.97619047619048</v>
          </cell>
          <cell r="AF57">
            <v>145.56410256410257</v>
          </cell>
          <cell r="AI57">
            <v>256.48837209302326</v>
          </cell>
          <cell r="AL57">
            <v>285.81395348837208</v>
          </cell>
          <cell r="AO57">
            <v>228.19512195121951</v>
          </cell>
          <cell r="AR57">
            <v>181.26190476190476</v>
          </cell>
          <cell r="AU57">
            <v>195.70731707317074</v>
          </cell>
          <cell r="AX57">
            <v>182.4047619047619</v>
          </cell>
          <cell r="BA57">
            <v>212.90697674418604</v>
          </cell>
          <cell r="BD57">
            <v>104.20930232558139</v>
          </cell>
          <cell r="BG57">
            <v>132.19512195121951</v>
          </cell>
          <cell r="BJ57">
            <v>146.51219512195121</v>
          </cell>
          <cell r="BM57" t="e">
            <v>#DIV/0!</v>
          </cell>
          <cell r="BP57" t="e">
            <v>#DIV/0!</v>
          </cell>
          <cell r="BS57" t="e">
            <v>#DIV/0!</v>
          </cell>
          <cell r="BV57" t="e">
            <v>#DIV/0!</v>
          </cell>
          <cell r="BY57" t="e">
            <v>#DIV/0!</v>
          </cell>
          <cell r="CB57" t="e">
            <v>#DIV/0!</v>
          </cell>
          <cell r="CE57" t="e">
            <v>#DIV/0!</v>
          </cell>
        </row>
        <row r="59">
          <cell r="B59">
            <v>6</v>
          </cell>
        </row>
        <row r="60">
          <cell r="B60">
            <v>7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4</v>
          </cell>
        </row>
        <row r="65">
          <cell r="B65">
            <v>43</v>
          </cell>
        </row>
        <row r="66">
          <cell r="B66">
            <v>173971</v>
          </cell>
        </row>
      </sheetData>
      <sheetData sheetId="1">
        <row r="46">
          <cell r="H46">
            <v>349.06666666666666</v>
          </cell>
          <cell r="K46">
            <v>270.2</v>
          </cell>
          <cell r="N46">
            <v>168.54838709677421</v>
          </cell>
          <cell r="Q46">
            <v>386.1</v>
          </cell>
          <cell r="T46">
            <v>289.20689655172413</v>
          </cell>
          <cell r="W46">
            <v>363.03571428571428</v>
          </cell>
          <cell r="Z46">
            <v>264.03703703703701</v>
          </cell>
          <cell r="AC46">
            <v>233.31034482758622</v>
          </cell>
          <cell r="AF46">
            <v>182.76923076923077</v>
          </cell>
          <cell r="AI46">
            <v>303.85185185185185</v>
          </cell>
          <cell r="AL46">
            <v>369.41379310344826</v>
          </cell>
          <cell r="AO46">
            <v>301.88888888888891</v>
          </cell>
          <cell r="AR46">
            <v>191</v>
          </cell>
          <cell r="AU46">
            <v>249.5</v>
          </cell>
          <cell r="AX46">
            <v>308.58064516129031</v>
          </cell>
          <cell r="BA46">
            <v>267.41379310344826</v>
          </cell>
          <cell r="BD46">
            <v>259.92592592592592</v>
          </cell>
          <cell r="BG46">
            <v>251.88</v>
          </cell>
          <cell r="BJ46">
            <v>193.16666666666666</v>
          </cell>
          <cell r="BM46" t="e">
            <v>#DIV/0!</v>
          </cell>
          <cell r="BP46" t="e">
            <v>#DIV/0!</v>
          </cell>
          <cell r="BS46" t="e">
            <v>#DIV/0!</v>
          </cell>
          <cell r="BV46" t="e">
            <v>#DIV/0!</v>
          </cell>
          <cell r="BY46" t="e">
            <v>#DIV/0!</v>
          </cell>
          <cell r="CB46" t="e">
            <v>#DIV/0!</v>
          </cell>
          <cell r="CE46" t="e">
            <v>#DIV/0!</v>
          </cell>
        </row>
        <row r="48">
          <cell r="B48">
            <v>40</v>
          </cell>
        </row>
        <row r="49">
          <cell r="B49">
            <v>24</v>
          </cell>
        </row>
        <row r="50">
          <cell r="B50">
            <v>4</v>
          </cell>
        </row>
        <row r="51">
          <cell r="B51">
            <v>0</v>
          </cell>
        </row>
        <row r="52">
          <cell r="B52">
            <v>40</v>
          </cell>
        </row>
        <row r="54">
          <cell r="B54">
            <v>32</v>
          </cell>
        </row>
        <row r="55">
          <cell r="B55">
            <v>147949</v>
          </cell>
        </row>
      </sheetData>
      <sheetData sheetId="2">
        <row r="48">
          <cell r="H48">
            <v>190.78125</v>
          </cell>
          <cell r="K48">
            <v>265.90909090909093</v>
          </cell>
          <cell r="N48">
            <v>249.8125</v>
          </cell>
          <cell r="Q48">
            <v>418.34375</v>
          </cell>
          <cell r="T48">
            <v>218.68965517241378</v>
          </cell>
          <cell r="W48">
            <v>264</v>
          </cell>
          <cell r="Z48">
            <v>242.93548387096774</v>
          </cell>
          <cell r="AC48">
            <v>124.83870967741936</v>
          </cell>
          <cell r="AF48">
            <v>253.35483870967741</v>
          </cell>
          <cell r="AI48">
            <v>283.15625</v>
          </cell>
          <cell r="AL48">
            <v>305.09375</v>
          </cell>
          <cell r="AO48">
            <v>148.51612903225808</v>
          </cell>
          <cell r="AR48">
            <v>328</v>
          </cell>
          <cell r="AU48">
            <v>312.80645161290323</v>
          </cell>
          <cell r="AX48">
            <v>333.54838709677421</v>
          </cell>
          <cell r="BA48">
            <v>262.46875</v>
          </cell>
          <cell r="BD48">
            <v>243.26470588235293</v>
          </cell>
          <cell r="BG48">
            <v>167.15625</v>
          </cell>
          <cell r="BJ48">
            <v>235.46875</v>
          </cell>
          <cell r="BM48" t="e">
            <v>#DIV/0!</v>
          </cell>
          <cell r="BP48" t="e">
            <v>#DIV/0!</v>
          </cell>
          <cell r="BS48" t="e">
            <v>#DIV/0!</v>
          </cell>
          <cell r="BV48" t="e">
            <v>#DIV/0!</v>
          </cell>
          <cell r="BY48" t="e">
            <v>#DIV/0!</v>
          </cell>
          <cell r="CB48" t="e">
            <v>#DIV/0!</v>
          </cell>
          <cell r="CE48" t="e">
            <v>#DIV/0!</v>
          </cell>
        </row>
        <row r="49">
          <cell r="B49">
            <v>31</v>
          </cell>
        </row>
        <row r="50">
          <cell r="B50">
            <v>9</v>
          </cell>
        </row>
        <row r="51">
          <cell r="B51">
            <v>2</v>
          </cell>
        </row>
        <row r="52">
          <cell r="B52">
            <v>0</v>
          </cell>
        </row>
        <row r="53">
          <cell r="B53">
            <v>15</v>
          </cell>
        </row>
        <row r="55">
          <cell r="B55">
            <v>34</v>
          </cell>
        </row>
        <row r="56">
          <cell r="B56">
            <v>153229</v>
          </cell>
        </row>
      </sheetData>
      <sheetData sheetId="3">
        <row r="49">
          <cell r="H49">
            <v>164.9655172413793</v>
          </cell>
          <cell r="K49">
            <v>315.44827586206895</v>
          </cell>
          <cell r="N49">
            <v>322.11111111111109</v>
          </cell>
          <cell r="Q49">
            <v>472.27586206896552</v>
          </cell>
          <cell r="T49">
            <v>181.67857142857142</v>
          </cell>
          <cell r="W49">
            <v>264.48148148148147</v>
          </cell>
          <cell r="Z49">
            <v>290.64</v>
          </cell>
          <cell r="AC49">
            <v>231.60714285714286</v>
          </cell>
          <cell r="AF49">
            <v>141.63999999999999</v>
          </cell>
          <cell r="AI49">
            <v>151.53846153846155</v>
          </cell>
          <cell r="AL49">
            <v>275.375</v>
          </cell>
          <cell r="AO49">
            <v>172.2</v>
          </cell>
          <cell r="AR49">
            <v>352.11538461538464</v>
          </cell>
          <cell r="AU49">
            <v>190.15625</v>
          </cell>
          <cell r="AX49">
            <v>310.46875</v>
          </cell>
          <cell r="BA49">
            <v>187.66666666666666</v>
          </cell>
          <cell r="BD49">
            <v>176.48387096774192</v>
          </cell>
          <cell r="BG49">
            <v>213.88461538461539</v>
          </cell>
          <cell r="BJ49">
            <v>296.25</v>
          </cell>
          <cell r="BM49" t="e">
            <v>#DIV/0!</v>
          </cell>
          <cell r="BP49" t="e">
            <v>#DIV/0!</v>
          </cell>
          <cell r="BS49" t="e">
            <v>#DIV/0!</v>
          </cell>
          <cell r="BV49" t="e">
            <v>#DIV/0!</v>
          </cell>
          <cell r="BY49" t="e">
            <v>#DIV/0!</v>
          </cell>
          <cell r="CB49" t="e">
            <v>#DIV/0!</v>
          </cell>
          <cell r="CE49" t="e">
            <v>#DIV/0!</v>
          </cell>
        </row>
        <row r="51">
          <cell r="B51">
            <v>85</v>
          </cell>
        </row>
        <row r="52">
          <cell r="B52">
            <v>33</v>
          </cell>
        </row>
        <row r="53">
          <cell r="B53">
            <v>3</v>
          </cell>
        </row>
        <row r="54">
          <cell r="B54">
            <v>0</v>
          </cell>
        </row>
        <row r="55">
          <cell r="B55">
            <v>36</v>
          </cell>
        </row>
        <row r="57">
          <cell r="B57">
            <v>35</v>
          </cell>
        </row>
        <row r="58">
          <cell r="B58">
            <v>133895</v>
          </cell>
        </row>
      </sheetData>
      <sheetData sheetId="4">
        <row r="90">
          <cell r="H90">
            <v>193.01538461538462</v>
          </cell>
          <cell r="K90">
            <v>212.56716417910448</v>
          </cell>
          <cell r="N90">
            <v>227.52238805970148</v>
          </cell>
          <cell r="Q90">
            <v>362.25352112676057</v>
          </cell>
          <cell r="T90">
            <v>262.90909090909093</v>
          </cell>
          <cell r="W90">
            <v>222.4375</v>
          </cell>
          <cell r="Z90">
            <v>270.19117647058823</v>
          </cell>
          <cell r="AC90">
            <v>157.2923076923077</v>
          </cell>
          <cell r="AF90">
            <v>178.79310344827587</v>
          </cell>
          <cell r="AI90">
            <v>169.875</v>
          </cell>
          <cell r="AL90">
            <v>214.3235294117647</v>
          </cell>
          <cell r="AO90">
            <v>122.78125</v>
          </cell>
          <cell r="AR90">
            <v>182.34848484848484</v>
          </cell>
          <cell r="AU90">
            <v>131.1764705882353</v>
          </cell>
          <cell r="AX90">
            <v>189.18840579710144</v>
          </cell>
          <cell r="BA90">
            <v>126.70588235294117</v>
          </cell>
          <cell r="BD90">
            <v>145.43283582089552</v>
          </cell>
          <cell r="BG90">
            <v>114.0625</v>
          </cell>
          <cell r="BJ90">
            <v>109.36206896551724</v>
          </cell>
          <cell r="BM90" t="e">
            <v>#DIV/0!</v>
          </cell>
          <cell r="BP90" t="e">
            <v>#DIV/0!</v>
          </cell>
          <cell r="BS90" t="e">
            <v>#DIV/0!</v>
          </cell>
          <cell r="BV90" t="e">
            <v>#DIV/0!</v>
          </cell>
          <cell r="BY90" t="e">
            <v>#DIV/0!</v>
          </cell>
          <cell r="CB90" t="e">
            <v>#DIV/0!</v>
          </cell>
          <cell r="CE90" t="e">
            <v>#DIV/0!</v>
          </cell>
        </row>
        <row r="92">
          <cell r="B92">
            <v>114</v>
          </cell>
        </row>
        <row r="93">
          <cell r="B93">
            <v>68</v>
          </cell>
        </row>
        <row r="94">
          <cell r="B94">
            <v>4</v>
          </cell>
        </row>
        <row r="95">
          <cell r="B95">
            <v>0</v>
          </cell>
        </row>
        <row r="96">
          <cell r="B96">
            <v>85</v>
          </cell>
        </row>
        <row r="98">
          <cell r="B98">
            <v>76</v>
          </cell>
        </row>
        <row r="99">
          <cell r="B99">
            <v>237623</v>
          </cell>
        </row>
      </sheetData>
      <sheetData sheetId="5">
        <row r="30">
          <cell r="H30">
            <v>170.2</v>
          </cell>
          <cell r="K30">
            <v>246.64285714285714</v>
          </cell>
          <cell r="N30">
            <v>247.38461538461539</v>
          </cell>
          <cell r="Q30">
            <v>624</v>
          </cell>
          <cell r="T30">
            <v>340</v>
          </cell>
          <cell r="W30">
            <v>337.64285714285717</v>
          </cell>
          <cell r="Z30">
            <v>215.84615384615384</v>
          </cell>
          <cell r="AC30">
            <v>303.85714285714283</v>
          </cell>
          <cell r="AF30">
            <v>225.1875</v>
          </cell>
          <cell r="AI30">
            <v>337.57142857142856</v>
          </cell>
          <cell r="AL30">
            <v>516.57142857142856</v>
          </cell>
          <cell r="AO30">
            <v>443.06666666666666</v>
          </cell>
          <cell r="AR30">
            <v>235</v>
          </cell>
          <cell r="AU30">
            <v>266.08333333333331</v>
          </cell>
          <cell r="AX30">
            <v>297.53846153846155</v>
          </cell>
          <cell r="BA30">
            <v>226.28571428571428</v>
          </cell>
          <cell r="BD30">
            <v>161.28571428571428</v>
          </cell>
          <cell r="BG30">
            <v>80.166666666666671</v>
          </cell>
          <cell r="BJ30">
            <v>227.75</v>
          </cell>
          <cell r="BM30" t="e">
            <v>#DIV/0!</v>
          </cell>
          <cell r="BP30" t="e">
            <v>#DIV/0!</v>
          </cell>
          <cell r="BS30" t="e">
            <v>#DIV/0!</v>
          </cell>
          <cell r="BV30" t="e">
            <v>#DIV/0!</v>
          </cell>
          <cell r="BY30" t="e">
            <v>#DIV/0!</v>
          </cell>
          <cell r="CB30" t="e">
            <v>#DIV/0!</v>
          </cell>
          <cell r="CE30" t="e">
            <v>#DIV/0!</v>
          </cell>
        </row>
        <row r="32">
          <cell r="B32">
            <v>13</v>
          </cell>
        </row>
        <row r="33">
          <cell r="B33">
            <v>23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6</v>
          </cell>
        </row>
        <row r="38">
          <cell r="B38">
            <v>16</v>
          </cell>
        </row>
        <row r="39">
          <cell r="B39">
            <v>77200</v>
          </cell>
        </row>
      </sheetData>
      <sheetData sheetId="6">
        <row r="27">
          <cell r="H27">
            <v>166.54545454545453</v>
          </cell>
          <cell r="K27">
            <v>140.08333333333334</v>
          </cell>
          <cell r="N27">
            <v>235.38461538461539</v>
          </cell>
          <cell r="Q27">
            <v>225.55555555555554</v>
          </cell>
          <cell r="T27">
            <v>102.69230769230769</v>
          </cell>
          <cell r="W27">
            <v>194.54545454545453</v>
          </cell>
          <cell r="Z27">
            <v>158.5</v>
          </cell>
          <cell r="AC27">
            <v>134.07692307692307</v>
          </cell>
          <cell r="AF27">
            <v>181.45454545454547</v>
          </cell>
          <cell r="AI27">
            <v>202.83333333333334</v>
          </cell>
          <cell r="AL27">
            <v>224.58333333333334</v>
          </cell>
          <cell r="AO27">
            <v>210.41666666666666</v>
          </cell>
          <cell r="AR27">
            <v>282.45454545454544</v>
          </cell>
          <cell r="AU27">
            <v>212.75</v>
          </cell>
          <cell r="AX27">
            <v>267.33333333333331</v>
          </cell>
          <cell r="BA27">
            <v>253.2</v>
          </cell>
          <cell r="BD27">
            <v>182.08333333333334</v>
          </cell>
          <cell r="BG27">
            <v>246.66666666666666</v>
          </cell>
          <cell r="BJ27">
            <v>125.66666666666667</v>
          </cell>
          <cell r="BM27" t="e">
            <v>#DIV/0!</v>
          </cell>
          <cell r="BP27" t="e">
            <v>#DIV/0!</v>
          </cell>
          <cell r="BS27" t="e">
            <v>#DIV/0!</v>
          </cell>
          <cell r="BV27" t="e">
            <v>#DIV/0!</v>
          </cell>
          <cell r="BY27" t="e">
            <v>#DIV/0!</v>
          </cell>
          <cell r="CB27" t="e">
            <v>#DIV/0!</v>
          </cell>
          <cell r="CE27" t="e">
            <v>#DIV/0!</v>
          </cell>
        </row>
        <row r="29">
          <cell r="B29">
            <v>11</v>
          </cell>
        </row>
        <row r="30">
          <cell r="B30">
            <v>11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15</v>
          </cell>
        </row>
        <row r="35">
          <cell r="B35">
            <v>13</v>
          </cell>
        </row>
        <row r="36">
          <cell r="B36">
            <v>43426</v>
          </cell>
        </row>
      </sheetData>
      <sheetData sheetId="7">
        <row r="38">
          <cell r="H38">
            <v>403.45</v>
          </cell>
          <cell r="K38">
            <v>455.33333333333331</v>
          </cell>
          <cell r="N38">
            <v>423.5</v>
          </cell>
          <cell r="Q38">
            <v>560.4545454545455</v>
          </cell>
          <cell r="T38">
            <v>508.04761904761904</v>
          </cell>
          <cell r="W38">
            <v>245.78947368421052</v>
          </cell>
          <cell r="Z38">
            <v>525.82608695652175</v>
          </cell>
          <cell r="AC38">
            <v>532.77272727272725</v>
          </cell>
          <cell r="AF38">
            <v>361.1904761904762</v>
          </cell>
          <cell r="AI38">
            <v>499.78260869565219</v>
          </cell>
          <cell r="AL38">
            <v>403.95454545454544</v>
          </cell>
          <cell r="AO38">
            <v>489.21739130434781</v>
          </cell>
          <cell r="AR38">
            <v>576.29166666666663</v>
          </cell>
          <cell r="AU38">
            <v>370.47619047619048</v>
          </cell>
          <cell r="AX38">
            <v>513.95833333333337</v>
          </cell>
          <cell r="BA38">
            <v>297</v>
          </cell>
          <cell r="BD38">
            <v>385.66666666666669</v>
          </cell>
          <cell r="BG38">
            <v>235.63157894736841</v>
          </cell>
          <cell r="BJ38">
            <v>351.16666666666669</v>
          </cell>
          <cell r="BM38" t="e">
            <v>#DIV/0!</v>
          </cell>
          <cell r="BP38" t="e">
            <v>#DIV/0!</v>
          </cell>
          <cell r="BS38" t="e">
            <v>#DIV/0!</v>
          </cell>
          <cell r="BV38" t="e">
            <v>#DIV/0!</v>
          </cell>
          <cell r="BY38" t="e">
            <v>#DIV/0!</v>
          </cell>
          <cell r="CB38" t="e">
            <v>#DIV/0!</v>
          </cell>
          <cell r="CE38" t="e">
            <v>#DIV/0!</v>
          </cell>
        </row>
        <row r="40">
          <cell r="B40">
            <v>27</v>
          </cell>
        </row>
        <row r="41">
          <cell r="B41">
            <v>19</v>
          </cell>
        </row>
        <row r="42">
          <cell r="B42">
            <v>1</v>
          </cell>
        </row>
        <row r="43">
          <cell r="B43">
            <v>0</v>
          </cell>
        </row>
        <row r="44">
          <cell r="B44">
            <v>25</v>
          </cell>
        </row>
        <row r="46">
          <cell r="B46">
            <v>24</v>
          </cell>
        </row>
        <row r="47">
          <cell r="B47">
            <v>177028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GUEIRA"/>
      <sheetName val="JARDIM SÃO PAULO I"/>
      <sheetName val="JARDIM SÃO PAULO II"/>
      <sheetName val="AFOGADOS I"/>
      <sheetName val="AFOGADOS II "/>
      <sheetName val="AFOGADOS III"/>
      <sheetName val="BARRO II"/>
    </sheetNames>
    <sheetDataSet>
      <sheetData sheetId="0">
        <row r="29">
          <cell r="H29">
            <v>167</v>
          </cell>
          <cell r="K29">
            <v>188.69230769230768</v>
          </cell>
          <cell r="N29">
            <v>362.84615384615387</v>
          </cell>
          <cell r="Q29">
            <v>297.92307692307691</v>
          </cell>
          <cell r="T29">
            <v>242.8</v>
          </cell>
          <cell r="W29">
            <v>298.75</v>
          </cell>
          <cell r="Z29">
            <v>300.16666666666669</v>
          </cell>
          <cell r="AC29">
            <v>270.33333333333331</v>
          </cell>
          <cell r="AF29">
            <v>180.53846153846155</v>
          </cell>
          <cell r="AI29">
            <v>94</v>
          </cell>
          <cell r="AL29">
            <v>640.36363636363637</v>
          </cell>
          <cell r="AO29">
            <v>386.58333333333331</v>
          </cell>
          <cell r="AR29">
            <v>289</v>
          </cell>
          <cell r="AU29">
            <v>249.81818181818181</v>
          </cell>
          <cell r="AX29">
            <v>222.66666666666666</v>
          </cell>
          <cell r="BA29">
            <v>161.69999999999999</v>
          </cell>
          <cell r="BD29">
            <v>283.22222222222223</v>
          </cell>
          <cell r="BG29">
            <v>258.63636363636363</v>
          </cell>
          <cell r="BJ29" t="e">
            <v>#DIV/0!</v>
          </cell>
          <cell r="BM29" t="e">
            <v>#DIV/0!</v>
          </cell>
          <cell r="BP29" t="e">
            <v>#DIV/0!</v>
          </cell>
          <cell r="BS29" t="e">
            <v>#DIV/0!</v>
          </cell>
          <cell r="BV29" t="e">
            <v>#DIV/0!</v>
          </cell>
          <cell r="BY29" t="e">
            <v>#DIV/0!</v>
          </cell>
          <cell r="CB29" t="e">
            <v>#DIV/0!</v>
          </cell>
          <cell r="CE29" t="e">
            <v>#DIV/0!</v>
          </cell>
        </row>
        <row r="31">
          <cell r="B31">
            <v>47</v>
          </cell>
        </row>
        <row r="32">
          <cell r="B32">
            <v>14</v>
          </cell>
        </row>
        <row r="33">
          <cell r="B33">
            <v>1</v>
          </cell>
        </row>
        <row r="34">
          <cell r="B34">
            <v>0</v>
          </cell>
        </row>
        <row r="35">
          <cell r="B35">
            <v>29</v>
          </cell>
        </row>
        <row r="37">
          <cell r="B37">
            <v>15</v>
          </cell>
        </row>
        <row r="38">
          <cell r="B38">
            <v>56657</v>
          </cell>
        </row>
      </sheetData>
      <sheetData sheetId="1">
        <row r="46">
          <cell r="H46">
            <v>241.66666666666666</v>
          </cell>
          <cell r="K46">
            <v>245.67857142857142</v>
          </cell>
          <cell r="N46">
            <v>339.64285714285717</v>
          </cell>
          <cell r="Q46">
            <v>194.04</v>
          </cell>
          <cell r="T46">
            <v>233.46153846153845</v>
          </cell>
          <cell r="W46">
            <v>274.48</v>
          </cell>
          <cell r="Z46">
            <v>294.85185185185185</v>
          </cell>
          <cell r="AC46">
            <v>263.43333333333334</v>
          </cell>
          <cell r="AF46">
            <v>137.33333333333334</v>
          </cell>
          <cell r="AI46">
            <v>181.85185185185185</v>
          </cell>
          <cell r="AL46">
            <v>390.24</v>
          </cell>
          <cell r="AO46">
            <v>254.08695652173913</v>
          </cell>
          <cell r="AR46">
            <v>243.84</v>
          </cell>
          <cell r="AU46">
            <v>174</v>
          </cell>
          <cell r="AX46">
            <v>330.07692307692309</v>
          </cell>
          <cell r="BA46">
            <v>201.19230769230768</v>
          </cell>
          <cell r="BD46">
            <v>258</v>
          </cell>
          <cell r="BG46">
            <v>196.45454545454547</v>
          </cell>
          <cell r="BJ46" t="e">
            <v>#DIV/0!</v>
          </cell>
          <cell r="BM46" t="e">
            <v>#DIV/0!</v>
          </cell>
          <cell r="BP46" t="e">
            <v>#DIV/0!</v>
          </cell>
          <cell r="BS46" t="e">
            <v>#DIV/0!</v>
          </cell>
          <cell r="BV46" t="e">
            <v>#DIV/0!</v>
          </cell>
          <cell r="BY46" t="e">
            <v>#DIV/0!</v>
          </cell>
          <cell r="CB46" t="e">
            <v>#DIV/0!</v>
          </cell>
          <cell r="CE46" t="e">
            <v>#DIV/0!</v>
          </cell>
        </row>
        <row r="48">
          <cell r="B48">
            <v>70</v>
          </cell>
        </row>
        <row r="49">
          <cell r="B49">
            <v>33</v>
          </cell>
        </row>
        <row r="50">
          <cell r="B50">
            <v>4</v>
          </cell>
        </row>
        <row r="51">
          <cell r="B51">
            <v>0</v>
          </cell>
        </row>
        <row r="52">
          <cell r="B52">
            <v>54</v>
          </cell>
        </row>
        <row r="54">
          <cell r="B54">
            <v>32</v>
          </cell>
        </row>
        <row r="55">
          <cell r="B55">
            <v>115746</v>
          </cell>
        </row>
      </sheetData>
      <sheetData sheetId="2">
        <row r="48">
          <cell r="H48">
            <v>204.5185185185185</v>
          </cell>
          <cell r="K48">
            <v>281.5151515151515</v>
          </cell>
          <cell r="N48">
            <v>254.1875</v>
          </cell>
          <cell r="Q48">
            <v>300.27272727272725</v>
          </cell>
          <cell r="T48">
            <v>192.85294117647058</v>
          </cell>
          <cell r="W48">
            <v>146.23529411764707</v>
          </cell>
          <cell r="Z48">
            <v>292.70588235294116</v>
          </cell>
          <cell r="AC48">
            <v>241.84848484848484</v>
          </cell>
          <cell r="AF48">
            <v>219.94117647058823</v>
          </cell>
          <cell r="AI48">
            <v>217.34375</v>
          </cell>
          <cell r="AL48">
            <v>160.85294117647058</v>
          </cell>
          <cell r="AO48">
            <v>376.09375</v>
          </cell>
          <cell r="AR48">
            <v>196.72727272727272</v>
          </cell>
          <cell r="AU48">
            <v>158.86666666666667</v>
          </cell>
          <cell r="AX48">
            <v>217.45454545454547</v>
          </cell>
          <cell r="BA48">
            <v>246.61764705882354</v>
          </cell>
          <cell r="BD48">
            <v>172.78787878787878</v>
          </cell>
          <cell r="BG48">
            <v>184.96875</v>
          </cell>
          <cell r="BJ48" t="e">
            <v>#DIV/0!</v>
          </cell>
          <cell r="BM48" t="e">
            <v>#DIV/0!</v>
          </cell>
          <cell r="BP48" t="e">
            <v>#DIV/0!</v>
          </cell>
          <cell r="BS48" t="e">
            <v>#DIV/0!</v>
          </cell>
          <cell r="BV48" t="e">
            <v>#DIV/0!</v>
          </cell>
          <cell r="BY48" t="e">
            <v>#DIV/0!</v>
          </cell>
          <cell r="CB48" t="e">
            <v>#DIV/0!</v>
          </cell>
          <cell r="CE48" t="e">
            <v>#DIV/0!</v>
          </cell>
        </row>
        <row r="50">
          <cell r="B50">
            <v>10</v>
          </cell>
        </row>
        <row r="51">
          <cell r="B51">
            <v>7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5</v>
          </cell>
        </row>
        <row r="56">
          <cell r="B56">
            <v>34</v>
          </cell>
        </row>
        <row r="57">
          <cell r="B57">
            <v>132694</v>
          </cell>
        </row>
      </sheetData>
      <sheetData sheetId="3">
        <row r="32">
          <cell r="H32">
            <v>254</v>
          </cell>
          <cell r="K32">
            <v>422.30769230769232</v>
          </cell>
          <cell r="N32">
            <v>353</v>
          </cell>
          <cell r="Q32">
            <v>355.11764705882354</v>
          </cell>
          <cell r="T32">
            <v>274.5</v>
          </cell>
          <cell r="W32">
            <v>268.42857142857144</v>
          </cell>
          <cell r="Z32">
            <v>295.5</v>
          </cell>
          <cell r="AC32">
            <v>267.61111111111109</v>
          </cell>
          <cell r="AF32">
            <v>123.125</v>
          </cell>
          <cell r="AI32">
            <v>449.23076923076923</v>
          </cell>
          <cell r="AL32">
            <v>310.14285714285717</v>
          </cell>
          <cell r="AO32">
            <v>336</v>
          </cell>
          <cell r="AR32">
            <v>498.125</v>
          </cell>
          <cell r="AU32">
            <v>411.88235294117646</v>
          </cell>
          <cell r="AX32">
            <v>493.26666666666665</v>
          </cell>
          <cell r="BA32">
            <v>260.125</v>
          </cell>
          <cell r="BD32">
            <v>323.85714285714283</v>
          </cell>
          <cell r="BG32">
            <v>213.66666666666666</v>
          </cell>
          <cell r="BJ32" t="e">
            <v>#DIV/0!</v>
          </cell>
          <cell r="BM32" t="e">
            <v>#DIV/0!</v>
          </cell>
          <cell r="BP32" t="e">
            <v>#DIV/0!</v>
          </cell>
          <cell r="BS32" t="e">
            <v>#DIV/0!</v>
          </cell>
          <cell r="BV32" t="e">
            <v>#DIV/0!</v>
          </cell>
          <cell r="BY32" t="e">
            <v>#DIV/0!</v>
          </cell>
          <cell r="CB32" t="e">
            <v>#DIV/0!</v>
          </cell>
          <cell r="CE32" t="e">
            <v>#DIV/0!</v>
          </cell>
        </row>
        <row r="34">
          <cell r="B34">
            <v>39</v>
          </cell>
        </row>
        <row r="35">
          <cell r="B35">
            <v>17</v>
          </cell>
        </row>
        <row r="36">
          <cell r="B36">
            <v>2</v>
          </cell>
        </row>
        <row r="37">
          <cell r="B37">
            <v>0</v>
          </cell>
        </row>
        <row r="38">
          <cell r="B38">
            <v>21</v>
          </cell>
        </row>
        <row r="40">
          <cell r="B40">
            <v>18</v>
          </cell>
        </row>
        <row r="41">
          <cell r="B41">
            <v>86953</v>
          </cell>
        </row>
      </sheetData>
      <sheetData sheetId="4">
        <row r="44">
          <cell r="H44">
            <v>187.26923076923077</v>
          </cell>
          <cell r="K44">
            <v>268.96296296296299</v>
          </cell>
          <cell r="N44">
            <v>378.55555555555554</v>
          </cell>
          <cell r="Q44">
            <v>299.11538461538464</v>
          </cell>
          <cell r="T44">
            <v>151.55172413793105</v>
          </cell>
          <cell r="W44">
            <v>262.88461538461536</v>
          </cell>
          <cell r="Z44">
            <v>264.76</v>
          </cell>
          <cell r="AC44">
            <v>315.83333333333331</v>
          </cell>
          <cell r="AF44">
            <v>177.82142857142858</v>
          </cell>
          <cell r="AI44">
            <v>275.61538461538464</v>
          </cell>
          <cell r="AL44">
            <v>425.15384615384613</v>
          </cell>
          <cell r="AO44">
            <v>297.36</v>
          </cell>
          <cell r="AR44">
            <v>303.28571428571428</v>
          </cell>
          <cell r="AU44">
            <v>309.22222222222223</v>
          </cell>
          <cell r="AX44">
            <v>290.71428571428572</v>
          </cell>
          <cell r="BA44">
            <v>141.10344827586206</v>
          </cell>
          <cell r="BD44">
            <v>175.10344827586206</v>
          </cell>
          <cell r="BG44">
            <v>159</v>
          </cell>
          <cell r="BJ44" t="e">
            <v>#DIV/0!</v>
          </cell>
          <cell r="BM44" t="e">
            <v>#DIV/0!</v>
          </cell>
          <cell r="BP44" t="e">
            <v>#DIV/0!</v>
          </cell>
          <cell r="BS44" t="e">
            <v>#DIV/0!</v>
          </cell>
          <cell r="BV44" t="e">
            <v>#DIV/0!</v>
          </cell>
          <cell r="BY44" t="e">
            <v>#DIV/0!</v>
          </cell>
          <cell r="CB44" t="e">
            <v>#DIV/0!</v>
          </cell>
          <cell r="CE44" t="e">
            <v>#DIV/0!</v>
          </cell>
        </row>
        <row r="46">
          <cell r="B46">
            <v>33</v>
          </cell>
        </row>
        <row r="47">
          <cell r="B47">
            <v>21</v>
          </cell>
        </row>
        <row r="48">
          <cell r="B48">
            <v>3</v>
          </cell>
        </row>
        <row r="49">
          <cell r="B49">
            <v>0</v>
          </cell>
        </row>
        <row r="50">
          <cell r="B50">
            <v>30</v>
          </cell>
        </row>
        <row r="52">
          <cell r="B52">
            <v>30</v>
          </cell>
        </row>
        <row r="53">
          <cell r="B53">
            <v>124476</v>
          </cell>
        </row>
      </sheetData>
      <sheetData sheetId="5">
        <row r="50">
          <cell r="H50">
            <v>245.25925925925927</v>
          </cell>
          <cell r="K50">
            <v>351</v>
          </cell>
          <cell r="N50">
            <v>206.0625</v>
          </cell>
          <cell r="Q50">
            <v>439.32258064516128</v>
          </cell>
          <cell r="T50">
            <v>253.5</v>
          </cell>
          <cell r="W50">
            <v>242.37931034482759</v>
          </cell>
          <cell r="Z50">
            <v>410.75</v>
          </cell>
          <cell r="AC50">
            <v>239.80769230769232</v>
          </cell>
          <cell r="AF50">
            <v>262.64285714285717</v>
          </cell>
          <cell r="AI50">
            <v>297.85714285714283</v>
          </cell>
          <cell r="AL50">
            <v>327.65517241379308</v>
          </cell>
          <cell r="AO50">
            <v>415.46666666666664</v>
          </cell>
          <cell r="AR50">
            <v>304.21212121212119</v>
          </cell>
          <cell r="AU50">
            <v>263.09677419354841</v>
          </cell>
          <cell r="AX50">
            <v>273.53571428571428</v>
          </cell>
          <cell r="BA50">
            <v>240.40625</v>
          </cell>
          <cell r="BD50">
            <v>244.96774193548387</v>
          </cell>
          <cell r="BG50">
            <v>169.33333333333334</v>
          </cell>
          <cell r="BJ50" t="e">
            <v>#DIV/0!</v>
          </cell>
          <cell r="BM50" t="e">
            <v>#DIV/0!</v>
          </cell>
          <cell r="BP50" t="e">
            <v>#DIV/0!</v>
          </cell>
          <cell r="BS50" t="e">
            <v>#DIV/0!</v>
          </cell>
          <cell r="BV50" t="e">
            <v>#DIV/0!</v>
          </cell>
          <cell r="BY50" t="e">
            <v>#DIV/0!</v>
          </cell>
          <cell r="CB50" t="e">
            <v>#DIV/0!</v>
          </cell>
          <cell r="CE50" t="e">
            <v>#DIV/0!</v>
          </cell>
        </row>
        <row r="52">
          <cell r="B52">
            <v>79</v>
          </cell>
        </row>
        <row r="53">
          <cell r="B53">
            <v>24</v>
          </cell>
        </row>
        <row r="54">
          <cell r="B54">
            <v>4</v>
          </cell>
        </row>
        <row r="55">
          <cell r="B55">
            <v>0</v>
          </cell>
        </row>
        <row r="56">
          <cell r="B56">
            <v>30</v>
          </cell>
        </row>
        <row r="58">
          <cell r="B58">
            <v>36</v>
          </cell>
        </row>
        <row r="59">
          <cell r="B59">
            <v>154669</v>
          </cell>
        </row>
      </sheetData>
      <sheetData sheetId="6">
        <row r="36">
          <cell r="H36">
            <v>129.27272727272728</v>
          </cell>
          <cell r="K36">
            <v>162.09090909090909</v>
          </cell>
          <cell r="N36">
            <v>266</v>
          </cell>
          <cell r="Q36">
            <v>280.09090909090907</v>
          </cell>
          <cell r="T36">
            <v>254.45454545454547</v>
          </cell>
          <cell r="W36">
            <v>158.59090909090909</v>
          </cell>
          <cell r="Z36">
            <v>181.3</v>
          </cell>
          <cell r="AC36">
            <v>165.81818181818181</v>
          </cell>
          <cell r="AF36">
            <v>161.13636363636363</v>
          </cell>
          <cell r="AI36">
            <v>162.38095238095238</v>
          </cell>
          <cell r="AL36">
            <v>169.59090909090909</v>
          </cell>
          <cell r="AO36">
            <v>119.875</v>
          </cell>
          <cell r="AR36">
            <v>195.85714285714286</v>
          </cell>
          <cell r="AU36">
            <v>198.36363636363637</v>
          </cell>
          <cell r="AX36">
            <v>104.36363636363636</v>
          </cell>
          <cell r="BA36">
            <v>120.5</v>
          </cell>
          <cell r="BD36">
            <v>113.15</v>
          </cell>
          <cell r="BG36">
            <v>132.95238095238096</v>
          </cell>
          <cell r="BJ36" t="e">
            <v>#DIV/0!</v>
          </cell>
          <cell r="BM36" t="e">
            <v>#DIV/0!</v>
          </cell>
          <cell r="BP36" t="e">
            <v>#DIV/0!</v>
          </cell>
          <cell r="BS36" t="e">
            <v>#DIV/0!</v>
          </cell>
          <cell r="BV36" t="e">
            <v>#DIV/0!</v>
          </cell>
          <cell r="BY36" t="e">
            <v>#DIV/0!</v>
          </cell>
          <cell r="CB36" t="e">
            <v>#DIV/0!</v>
          </cell>
          <cell r="CE36" t="e">
            <v>#DIV/0!</v>
          </cell>
        </row>
        <row r="38">
          <cell r="B38">
            <v>4</v>
          </cell>
        </row>
        <row r="39">
          <cell r="B39">
            <v>0</v>
          </cell>
        </row>
        <row r="41">
          <cell r="B41">
            <v>0</v>
          </cell>
        </row>
        <row r="42">
          <cell r="B42">
            <v>7</v>
          </cell>
        </row>
        <row r="44">
          <cell r="B44">
            <v>22</v>
          </cell>
        </row>
        <row r="45">
          <cell r="B45">
            <v>65386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NA"/>
      <sheetName val="BRASÍLIA"/>
      <sheetName val="IPSEP"/>
      <sheetName val="IMBIRIBEIRA"/>
      <sheetName val="BOA VIAGEM"/>
    </sheetNames>
    <sheetDataSet>
      <sheetData sheetId="0">
        <row r="62">
          <cell r="H62">
            <v>374.52173913043481</v>
          </cell>
          <cell r="K62">
            <v>351.6</v>
          </cell>
          <cell r="N62">
            <v>401.70212765957444</v>
          </cell>
          <cell r="Q62">
            <v>346.91666666666669</v>
          </cell>
          <cell r="T62">
            <v>168.29166666666666</v>
          </cell>
          <cell r="W62">
            <v>272.65957446808511</v>
          </cell>
          <cell r="Z62">
            <v>338.26086956521738</v>
          </cell>
          <cell r="AC62">
            <v>263.20833333333331</v>
          </cell>
          <cell r="AF62">
            <v>85.041666666666671</v>
          </cell>
          <cell r="AI62">
            <v>354.43478260869563</v>
          </cell>
          <cell r="AL62">
            <v>422.43478260869563</v>
          </cell>
          <cell r="AO62">
            <v>282.57777777777778</v>
          </cell>
          <cell r="AR62">
            <v>317.57777777777778</v>
          </cell>
          <cell r="AU62">
            <v>267.34090909090907</v>
          </cell>
          <cell r="AX62">
            <v>363.15909090909093</v>
          </cell>
          <cell r="BA62">
            <v>288.60869565217394</v>
          </cell>
          <cell r="BD62">
            <v>276.84444444444443</v>
          </cell>
          <cell r="BG62">
            <v>242.95454545454547</v>
          </cell>
          <cell r="BJ62" t="e">
            <v>#DIV/0!</v>
          </cell>
          <cell r="BM62" t="e">
            <v>#DIV/0!</v>
          </cell>
          <cell r="BP62" t="e">
            <v>#DIV/0!</v>
          </cell>
          <cell r="BS62" t="e">
            <v>#DIV/0!</v>
          </cell>
          <cell r="BV62" t="e">
            <v>#DIV/0!</v>
          </cell>
          <cell r="BY62" t="e">
            <v>#DIV/0!</v>
          </cell>
          <cell r="CB62" t="e">
            <v>#DIV/0!</v>
          </cell>
          <cell r="CE62" t="e">
            <v>#DIV/0!</v>
          </cell>
        </row>
        <row r="64">
          <cell r="B64">
            <v>18</v>
          </cell>
        </row>
        <row r="65">
          <cell r="B65">
            <v>10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14</v>
          </cell>
        </row>
        <row r="70">
          <cell r="B70">
            <v>48</v>
          </cell>
        </row>
        <row r="71">
          <cell r="B71">
            <v>248660</v>
          </cell>
        </row>
      </sheetData>
      <sheetData sheetId="1">
        <row r="50">
          <cell r="H50">
            <v>168.17142857142858</v>
          </cell>
          <cell r="K50">
            <v>162.21875</v>
          </cell>
          <cell r="N50">
            <v>352.45161290322579</v>
          </cell>
          <cell r="Q50">
            <v>346.1875</v>
          </cell>
          <cell r="T50">
            <v>148.60606060606059</v>
          </cell>
          <cell r="W50">
            <v>269.23529411764707</v>
          </cell>
          <cell r="Z50">
            <v>357</v>
          </cell>
          <cell r="AC50">
            <v>234.27272727272728</v>
          </cell>
          <cell r="AF50">
            <v>170.84848484848484</v>
          </cell>
          <cell r="AI50">
            <v>285.14705882352939</v>
          </cell>
          <cell r="AL50">
            <v>294.53125</v>
          </cell>
          <cell r="AO50">
            <v>280.625</v>
          </cell>
          <cell r="AR50">
            <v>233.03125</v>
          </cell>
          <cell r="AU50">
            <v>153.4848484848485</v>
          </cell>
          <cell r="AX50">
            <v>212.91428571428571</v>
          </cell>
          <cell r="BA50">
            <v>246.6</v>
          </cell>
          <cell r="BD50">
            <v>223.97222222222223</v>
          </cell>
          <cell r="BG50">
            <v>248.02857142857144</v>
          </cell>
          <cell r="BJ50" t="e">
            <v>#DIV/0!</v>
          </cell>
          <cell r="BM50" t="e">
            <v>#DIV/0!</v>
          </cell>
          <cell r="BP50" t="e">
            <v>#DIV/0!</v>
          </cell>
          <cell r="BS50" t="e">
            <v>#DIV/0!</v>
          </cell>
          <cell r="BV50" t="e">
            <v>#DIV/0!</v>
          </cell>
          <cell r="BY50" t="e">
            <v>#DIV/0!</v>
          </cell>
          <cell r="CB50" t="e">
            <v>#DIV/0!</v>
          </cell>
          <cell r="CE50" t="e">
            <v>#DIV/0!</v>
          </cell>
        </row>
        <row r="52">
          <cell r="B52">
            <v>21</v>
          </cell>
        </row>
        <row r="53">
          <cell r="B53">
            <v>17</v>
          </cell>
        </row>
        <row r="54">
          <cell r="B54">
            <v>2</v>
          </cell>
        </row>
        <row r="55">
          <cell r="B55">
            <v>0</v>
          </cell>
        </row>
        <row r="56">
          <cell r="B56">
            <v>24</v>
          </cell>
        </row>
        <row r="58">
          <cell r="B58">
            <v>36</v>
          </cell>
        </row>
        <row r="59">
          <cell r="B59">
            <v>146095</v>
          </cell>
        </row>
      </sheetData>
      <sheetData sheetId="2">
        <row r="57">
          <cell r="H57">
            <v>309.64285714285717</v>
          </cell>
          <cell r="K57">
            <v>394.57142857142856</v>
          </cell>
          <cell r="N57">
            <v>937.44186046511629</v>
          </cell>
          <cell r="Q57">
            <v>399.52380952380952</v>
          </cell>
          <cell r="T57">
            <v>507.75</v>
          </cell>
          <cell r="W57">
            <v>405.62790697674421</v>
          </cell>
          <cell r="Z57">
            <v>424.85365853658539</v>
          </cell>
          <cell r="AC57">
            <v>220.34883720930233</v>
          </cell>
          <cell r="AF57">
            <v>234.16279069767441</v>
          </cell>
          <cell r="AI57">
            <v>471.78048780487802</v>
          </cell>
          <cell r="AL57">
            <v>414.54761904761904</v>
          </cell>
          <cell r="AO57">
            <v>375.57142857142856</v>
          </cell>
          <cell r="AR57">
            <v>304.38095238095241</v>
          </cell>
          <cell r="AU57">
            <v>308.76744186046511</v>
          </cell>
          <cell r="AX57">
            <v>375.51162790697674</v>
          </cell>
          <cell r="BA57">
            <v>351.83333333333331</v>
          </cell>
          <cell r="BD57">
            <v>381.3170731707317</v>
          </cell>
          <cell r="BG57">
            <v>355.41463414634148</v>
          </cell>
          <cell r="BJ57" t="e">
            <v>#DIV/0!</v>
          </cell>
          <cell r="BM57" t="e">
            <v>#DIV/0!</v>
          </cell>
          <cell r="BP57" t="e">
            <v>#DIV/0!</v>
          </cell>
          <cell r="BS57" t="e">
            <v>#DIV/0!</v>
          </cell>
          <cell r="BV57" t="e">
            <v>#DIV/0!</v>
          </cell>
          <cell r="BY57" t="e">
            <v>#DIV/0!</v>
          </cell>
          <cell r="CB57" t="e">
            <v>#DIV/0!</v>
          </cell>
          <cell r="CE57" t="e">
            <v>#DIV/0!</v>
          </cell>
        </row>
        <row r="59">
          <cell r="B59">
            <v>9</v>
          </cell>
        </row>
        <row r="60">
          <cell r="B60">
            <v>7</v>
          </cell>
        </row>
        <row r="61">
          <cell r="B61">
            <v>1</v>
          </cell>
        </row>
        <row r="62">
          <cell r="B62">
            <v>0</v>
          </cell>
        </row>
        <row r="63">
          <cell r="B63">
            <v>12</v>
          </cell>
        </row>
        <row r="65">
          <cell r="B65">
            <v>43</v>
          </cell>
        </row>
        <row r="66">
          <cell r="B66">
            <v>301101</v>
          </cell>
        </row>
      </sheetData>
      <sheetData sheetId="3">
        <row r="150">
          <cell r="H150">
            <v>211.33333333333334</v>
          </cell>
          <cell r="K150">
            <v>221.57798165137615</v>
          </cell>
          <cell r="N150">
            <v>303.53913043478263</v>
          </cell>
          <cell r="Q150">
            <v>312.04385964912279</v>
          </cell>
          <cell r="T150">
            <v>225.008547008547</v>
          </cell>
          <cell r="W150">
            <v>228.71317829457365</v>
          </cell>
          <cell r="Z150">
            <v>264.55</v>
          </cell>
          <cell r="AC150">
            <v>230.4375</v>
          </cell>
          <cell r="AF150">
            <v>191.12389380530973</v>
          </cell>
          <cell r="AI150">
            <v>270.62393162393164</v>
          </cell>
          <cell r="AL150">
            <v>264.51219512195121</v>
          </cell>
          <cell r="AO150">
            <v>191.24786324786325</v>
          </cell>
          <cell r="AR150">
            <v>238.06837606837607</v>
          </cell>
          <cell r="AU150">
            <v>182.67479674796749</v>
          </cell>
          <cell r="AX150">
            <v>257.08264462809916</v>
          </cell>
          <cell r="BA150">
            <v>176.13709677419354</v>
          </cell>
          <cell r="BD150">
            <v>219.21428571428572</v>
          </cell>
          <cell r="BG150">
            <v>180.79838709677421</v>
          </cell>
          <cell r="BJ150" t="e">
            <v>#DIV/0!</v>
          </cell>
          <cell r="BM150" t="e">
            <v>#DIV/0!</v>
          </cell>
          <cell r="BP150" t="e">
            <v>#DIV/0!</v>
          </cell>
          <cell r="BS150" t="e">
            <v>#DIV/0!</v>
          </cell>
          <cell r="BV150" t="e">
            <v>#DIV/0!</v>
          </cell>
          <cell r="BY150" t="e">
            <v>#DIV/0!</v>
          </cell>
          <cell r="CB150" t="e">
            <v>#DIV/0!</v>
          </cell>
          <cell r="CE150" t="e">
            <v>#DIV/0!</v>
          </cell>
        </row>
        <row r="152">
          <cell r="B152">
            <v>160</v>
          </cell>
        </row>
        <row r="153">
          <cell r="B153">
            <v>120</v>
          </cell>
        </row>
        <row r="154">
          <cell r="B154">
            <v>4</v>
          </cell>
        </row>
        <row r="155">
          <cell r="B155">
            <v>0</v>
          </cell>
        </row>
        <row r="156">
          <cell r="B156">
            <v>119</v>
          </cell>
        </row>
        <row r="158">
          <cell r="B158">
            <v>136</v>
          </cell>
        </row>
        <row r="159">
          <cell r="B159">
            <v>494108</v>
          </cell>
        </row>
      </sheetData>
      <sheetData sheetId="4">
        <row r="176">
          <cell r="H176">
            <v>188.33552631578948</v>
          </cell>
          <cell r="K176">
            <v>197.48051948051949</v>
          </cell>
          <cell r="N176">
            <v>292.85161290322583</v>
          </cell>
          <cell r="Q176">
            <v>272.25</v>
          </cell>
          <cell r="T176">
            <v>195.14649681528661</v>
          </cell>
          <cell r="W176">
            <v>217.88050314465409</v>
          </cell>
          <cell r="Z176">
            <v>270.47741935483873</v>
          </cell>
          <cell r="AC176">
            <v>206.28025477707007</v>
          </cell>
          <cell r="AF176">
            <v>168.80503144654088</v>
          </cell>
          <cell r="AI176">
            <v>220.79084967320262</v>
          </cell>
          <cell r="AL176">
            <v>341.19078947368422</v>
          </cell>
          <cell r="AO176">
            <v>241.15189873417722</v>
          </cell>
          <cell r="AR176">
            <v>228.84810126582278</v>
          </cell>
          <cell r="AU176">
            <v>216.64968152866243</v>
          </cell>
          <cell r="AX176">
            <v>242.19354838709677</v>
          </cell>
          <cell r="BA176">
            <v>235.24675324675326</v>
          </cell>
          <cell r="BD176">
            <v>152.13836477987422</v>
          </cell>
          <cell r="BG176">
            <v>199.00649350649351</v>
          </cell>
          <cell r="BJ176" t="e">
            <v>#DIV/0!</v>
          </cell>
          <cell r="BM176" t="e">
            <v>#DIV/0!</v>
          </cell>
          <cell r="BP176" t="e">
            <v>#DIV/0!</v>
          </cell>
          <cell r="BS176" t="e">
            <v>#DIV/0!</v>
          </cell>
          <cell r="BV176" t="e">
            <v>#DIV/0!</v>
          </cell>
          <cell r="BY176" t="e">
            <v>#DIV/0!</v>
          </cell>
          <cell r="CB176" t="e">
            <v>#DIV/0!</v>
          </cell>
          <cell r="CE176" t="e">
            <v>#DIV/0!</v>
          </cell>
        </row>
        <row r="178">
          <cell r="B178">
            <v>36</v>
          </cell>
        </row>
        <row r="179">
          <cell r="B179">
            <v>40</v>
          </cell>
        </row>
        <row r="180">
          <cell r="B180">
            <v>5</v>
          </cell>
        </row>
        <row r="181">
          <cell r="B181">
            <v>0</v>
          </cell>
        </row>
        <row r="182">
          <cell r="B182">
            <v>36</v>
          </cell>
        </row>
        <row r="184">
          <cell r="B184">
            <v>162</v>
          </cell>
        </row>
        <row r="185">
          <cell r="B185">
            <v>636943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A DESCOBERTA "/>
      <sheetName val="ALTO J. BONIFÁCIO"/>
      <sheetName val="MANGABEIRA"/>
      <sheetName val="ALTO JOSÉ DO PINHO"/>
      <sheetName val="M. DA CONCEIÇÃO"/>
      <sheetName val="VASCO DA GAMA"/>
      <sheetName val="MACAXEIRA"/>
      <sheetName val="BREJO DA GUABIRABA"/>
      <sheetName val="CÓRR. DO JENIPAPO"/>
      <sheetName val="BREJO DO BEBERIBE"/>
      <sheetName val="PASSARINHO"/>
      <sheetName val="GUABIRABA"/>
      <sheetName val="PAU FERRO"/>
    </sheetNames>
    <sheetDataSet>
      <sheetData sheetId="0">
        <row r="74">
          <cell r="H74">
            <v>171.6</v>
          </cell>
          <cell r="K74">
            <v>130.27586206896552</v>
          </cell>
          <cell r="N74">
            <v>177.13559322033899</v>
          </cell>
          <cell r="Q74">
            <v>172.49122807017545</v>
          </cell>
          <cell r="T74">
            <v>306.81818181818181</v>
          </cell>
          <cell r="W74">
            <v>280.15254237288133</v>
          </cell>
          <cell r="Z74">
            <v>273.54385964912279</v>
          </cell>
          <cell r="AC74">
            <v>213.12727272727273</v>
          </cell>
          <cell r="AF74">
            <v>190.05357142857142</v>
          </cell>
          <cell r="AI74">
            <v>281.70175438596493</v>
          </cell>
          <cell r="AL74">
            <v>320.45</v>
          </cell>
          <cell r="AO74">
            <v>195.47368421052633</v>
          </cell>
          <cell r="AR74">
            <v>214.52727272727273</v>
          </cell>
          <cell r="AU74">
            <v>218.35593220338984</v>
          </cell>
          <cell r="AX74">
            <v>298.79310344827587</v>
          </cell>
          <cell r="BA74">
            <v>217.89655172413794</v>
          </cell>
          <cell r="BD74">
            <v>146.26315789473685</v>
          </cell>
          <cell r="BG74">
            <v>147.03571428571428</v>
          </cell>
          <cell r="BJ74" t="e">
            <v>#DIV/0!</v>
          </cell>
          <cell r="BM74" t="e">
            <v>#DIV/0!</v>
          </cell>
          <cell r="BP74" t="e">
            <v>#DIV/0!</v>
          </cell>
          <cell r="BS74" t="e">
            <v>#DIV/0!</v>
          </cell>
          <cell r="BV74" t="e">
            <v>#DIV/0!</v>
          </cell>
          <cell r="BY74" t="e">
            <v>#DIV/0!</v>
          </cell>
          <cell r="CB74" t="e">
            <v>#DIV/0!</v>
          </cell>
          <cell r="CE74" t="e">
            <v>#DIV/0!</v>
          </cell>
        </row>
        <row r="77">
          <cell r="B77">
            <v>26</v>
          </cell>
        </row>
        <row r="78">
          <cell r="B78">
            <v>17</v>
          </cell>
        </row>
        <row r="79">
          <cell r="B79">
            <v>3</v>
          </cell>
        </row>
        <row r="80">
          <cell r="B80">
            <v>0</v>
          </cell>
        </row>
        <row r="81">
          <cell r="B81">
            <v>34</v>
          </cell>
        </row>
        <row r="83">
          <cell r="B83">
            <v>60</v>
          </cell>
        </row>
        <row r="84">
          <cell r="B84">
            <v>226285</v>
          </cell>
        </row>
      </sheetData>
      <sheetData sheetId="1">
        <row r="35">
          <cell r="H35">
            <v>101.57894736842105</v>
          </cell>
          <cell r="K35">
            <v>163.44999999999999</v>
          </cell>
          <cell r="N35">
            <v>175.35</v>
          </cell>
          <cell r="Q35">
            <v>168.52380952380952</v>
          </cell>
          <cell r="T35">
            <v>147.61904761904762</v>
          </cell>
          <cell r="W35">
            <v>178.9047619047619</v>
          </cell>
          <cell r="Z35">
            <v>179.42857142857142</v>
          </cell>
          <cell r="AC35">
            <v>134.61904761904762</v>
          </cell>
          <cell r="AF35">
            <v>104.75</v>
          </cell>
          <cell r="AI35">
            <v>226.14285714285714</v>
          </cell>
          <cell r="AL35">
            <v>142.44999999999999</v>
          </cell>
          <cell r="AO35">
            <v>195.77777777777777</v>
          </cell>
          <cell r="AR35">
            <v>239.31578947368422</v>
          </cell>
          <cell r="AU35">
            <v>139.85</v>
          </cell>
          <cell r="AX35">
            <v>259.04761904761904</v>
          </cell>
          <cell r="BA35">
            <v>103.25</v>
          </cell>
          <cell r="BD35">
            <v>232.94736842105263</v>
          </cell>
          <cell r="BG35">
            <v>155.85</v>
          </cell>
          <cell r="BJ35" t="e">
            <v>#DIV/0!</v>
          </cell>
          <cell r="BM35" t="e">
            <v>#DIV/0!</v>
          </cell>
          <cell r="BP35" t="e">
            <v>#DIV/0!</v>
          </cell>
          <cell r="BS35" t="e">
            <v>#DIV/0!</v>
          </cell>
          <cell r="BV35" t="e">
            <v>#DIV/0!</v>
          </cell>
          <cell r="BY35" t="e">
            <v>#DIV/0!</v>
          </cell>
          <cell r="CB35" t="e">
            <v>#DIV/0!</v>
          </cell>
          <cell r="CE35" t="e">
            <v>#DIV/0!</v>
          </cell>
        </row>
        <row r="37">
          <cell r="B37">
            <v>11</v>
          </cell>
        </row>
        <row r="38">
          <cell r="B38">
            <v>1</v>
          </cell>
        </row>
        <row r="39">
          <cell r="B39">
            <v>1</v>
          </cell>
        </row>
        <row r="40">
          <cell r="B40">
            <v>0</v>
          </cell>
        </row>
        <row r="41">
          <cell r="B41">
            <v>9</v>
          </cell>
        </row>
        <row r="43">
          <cell r="B43">
            <v>21</v>
          </cell>
        </row>
        <row r="44">
          <cell r="B44">
            <v>61306</v>
          </cell>
        </row>
      </sheetData>
      <sheetData sheetId="2">
        <row r="25">
          <cell r="H25">
            <v>151.09090909090909</v>
          </cell>
          <cell r="K25">
            <v>126</v>
          </cell>
          <cell r="N25">
            <v>206.09090909090909</v>
          </cell>
          <cell r="Q25">
            <v>249.63636363636363</v>
          </cell>
          <cell r="T25">
            <v>177.9</v>
          </cell>
          <cell r="W25">
            <v>354.90909090909093</v>
          </cell>
          <cell r="Z25">
            <v>528.4545454545455</v>
          </cell>
          <cell r="AC25">
            <v>231</v>
          </cell>
          <cell r="AF25">
            <v>200.36363636363637</v>
          </cell>
          <cell r="AI25">
            <v>395.6</v>
          </cell>
          <cell r="AL25">
            <v>246.5</v>
          </cell>
          <cell r="AO25">
            <v>310.18181818181819</v>
          </cell>
          <cell r="AR25">
            <v>459.54545454545456</v>
          </cell>
          <cell r="AU25">
            <v>279.72727272727275</v>
          </cell>
          <cell r="AX25">
            <v>164.36363636363637</v>
          </cell>
          <cell r="BA25">
            <v>212.9</v>
          </cell>
          <cell r="BD25">
            <v>282.36363636363637</v>
          </cell>
          <cell r="BG25">
            <v>189.8</v>
          </cell>
          <cell r="BJ25" t="e">
            <v>#DIV/0!</v>
          </cell>
          <cell r="BM25" t="e">
            <v>#DIV/0!</v>
          </cell>
          <cell r="BP25" t="e">
            <v>#DIV/0!</v>
          </cell>
          <cell r="BS25" t="e">
            <v>#DIV/0!</v>
          </cell>
          <cell r="BV25" t="e">
            <v>#DIV/0!</v>
          </cell>
          <cell r="BY25" t="e">
            <v>#DIV/0!</v>
          </cell>
          <cell r="CB25" t="e">
            <v>#DIV/0!</v>
          </cell>
          <cell r="CE25" t="e">
            <v>#DIV/0!</v>
          </cell>
        </row>
        <row r="27">
          <cell r="B27">
            <v>2</v>
          </cell>
        </row>
        <row r="28">
          <cell r="B28">
            <v>3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4</v>
          </cell>
        </row>
        <row r="33">
          <cell r="B33">
            <v>11</v>
          </cell>
        </row>
        <row r="34">
          <cell r="B34">
            <v>50977</v>
          </cell>
        </row>
      </sheetData>
      <sheetData sheetId="3">
        <row r="32">
          <cell r="H32">
            <v>185.75</v>
          </cell>
          <cell r="K32">
            <v>220.44444444444446</v>
          </cell>
          <cell r="N32">
            <v>230.5</v>
          </cell>
          <cell r="Q32">
            <v>264.94444444444446</v>
          </cell>
          <cell r="T32">
            <v>192</v>
          </cell>
          <cell r="W32">
            <v>167.55555555555554</v>
          </cell>
          <cell r="Z32">
            <v>233.55555555555554</v>
          </cell>
          <cell r="AC32">
            <v>121.61111111111111</v>
          </cell>
          <cell r="AF32">
            <v>115.47058823529412</v>
          </cell>
          <cell r="AI32">
            <v>179.23529411764707</v>
          </cell>
          <cell r="AL32">
            <v>265.38888888888891</v>
          </cell>
          <cell r="AO32">
            <v>194.22222222222223</v>
          </cell>
          <cell r="AR32">
            <v>247.94444444444446</v>
          </cell>
          <cell r="AU32">
            <v>316.4375</v>
          </cell>
          <cell r="AX32">
            <v>199.16666666666666</v>
          </cell>
          <cell r="BA32">
            <v>247.5625</v>
          </cell>
          <cell r="BD32">
            <v>141.88888888888889</v>
          </cell>
          <cell r="BG32">
            <v>176.72222222222223</v>
          </cell>
          <cell r="BJ32" t="e">
            <v>#DIV/0!</v>
          </cell>
          <cell r="BM32" t="e">
            <v>#DIV/0!</v>
          </cell>
          <cell r="BP32" t="e">
            <v>#DIV/0!</v>
          </cell>
          <cell r="BS32" t="e">
            <v>#DIV/0!</v>
          </cell>
          <cell r="BV32" t="e">
            <v>#DIV/0!</v>
          </cell>
          <cell r="BY32" t="e">
            <v>#DIV/0!</v>
          </cell>
          <cell r="CB32" t="e">
            <v>#DIV/0!</v>
          </cell>
          <cell r="CE32" t="e">
            <v>#DIV/0!</v>
          </cell>
        </row>
        <row r="34">
          <cell r="B34">
            <v>2</v>
          </cell>
        </row>
        <row r="35">
          <cell r="B35">
            <v>1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1</v>
          </cell>
        </row>
        <row r="40">
          <cell r="B40">
            <v>18</v>
          </cell>
        </row>
        <row r="41">
          <cell r="B41">
            <v>64813</v>
          </cell>
        </row>
      </sheetData>
      <sheetData sheetId="4">
        <row r="30">
          <cell r="H30">
            <v>293.36363636363637</v>
          </cell>
          <cell r="K30">
            <v>152.93333333333334</v>
          </cell>
          <cell r="N30">
            <v>143.0625</v>
          </cell>
          <cell r="Q30">
            <v>268.4375</v>
          </cell>
          <cell r="T30">
            <v>236.5</v>
          </cell>
          <cell r="W30">
            <v>270.5625</v>
          </cell>
          <cell r="Z30">
            <v>178.25</v>
          </cell>
          <cell r="AC30">
            <v>202.75</v>
          </cell>
          <cell r="AF30">
            <v>173.78571428571428</v>
          </cell>
          <cell r="AI30">
            <v>236.75</v>
          </cell>
          <cell r="AL30">
            <v>128.875</v>
          </cell>
          <cell r="AO30">
            <v>258.0625</v>
          </cell>
          <cell r="AR30">
            <v>312.9375</v>
          </cell>
          <cell r="AU30">
            <v>218.26666666666668</v>
          </cell>
          <cell r="AX30">
            <v>200</v>
          </cell>
          <cell r="BA30">
            <v>141.8125</v>
          </cell>
          <cell r="BD30">
            <v>224.625</v>
          </cell>
          <cell r="BG30">
            <v>194.28571428571428</v>
          </cell>
          <cell r="BJ30" t="e">
            <v>#DIV/0!</v>
          </cell>
          <cell r="BM30" t="e">
            <v>#DIV/0!</v>
          </cell>
          <cell r="BP30" t="e">
            <v>#DIV/0!</v>
          </cell>
          <cell r="BS30" t="e">
            <v>#DIV/0!</v>
          </cell>
          <cell r="BV30" t="e">
            <v>#DIV/0!</v>
          </cell>
          <cell r="BY30" t="e">
            <v>#DIV/0!</v>
          </cell>
          <cell r="CB30" t="e">
            <v>#DIV/0!</v>
          </cell>
          <cell r="CE30" t="e">
            <v>#DIV/0!</v>
          </cell>
        </row>
        <row r="32">
          <cell r="B32">
            <v>4</v>
          </cell>
        </row>
        <row r="33">
          <cell r="B33">
            <v>5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6</v>
          </cell>
        </row>
        <row r="38">
          <cell r="B38">
            <v>16</v>
          </cell>
        </row>
        <row r="39">
          <cell r="B39">
            <v>58590</v>
          </cell>
        </row>
      </sheetData>
      <sheetData sheetId="5">
        <row r="67">
          <cell r="H67">
            <v>192.02</v>
          </cell>
          <cell r="K67">
            <v>205.57692307692307</v>
          </cell>
          <cell r="N67">
            <v>236.47058823529412</v>
          </cell>
          <cell r="Q67">
            <v>299.96153846153845</v>
          </cell>
          <cell r="T67">
            <v>180.56</v>
          </cell>
          <cell r="W67">
            <v>212.14</v>
          </cell>
          <cell r="Z67">
            <v>319.47169811320754</v>
          </cell>
          <cell r="AC67">
            <v>235.9433962264151</v>
          </cell>
          <cell r="AF67">
            <v>196.56862745098039</v>
          </cell>
          <cell r="AI67">
            <v>285.31372549019608</v>
          </cell>
          <cell r="AL67">
            <v>277.34615384615387</v>
          </cell>
          <cell r="AO67">
            <v>208.94</v>
          </cell>
          <cell r="AR67">
            <v>283.52083333333331</v>
          </cell>
          <cell r="AU67">
            <v>239.35294117647058</v>
          </cell>
          <cell r="AX67">
            <v>232.65909090909091</v>
          </cell>
          <cell r="BA67">
            <v>206.83673469387756</v>
          </cell>
          <cell r="BD67">
            <v>287.45098039215685</v>
          </cell>
          <cell r="BG67">
            <v>183.6875</v>
          </cell>
          <cell r="BJ67" t="e">
            <v>#DIV/0!</v>
          </cell>
          <cell r="BM67" t="e">
            <v>#DIV/0!</v>
          </cell>
          <cell r="BP67" t="e">
            <v>#DIV/0!</v>
          </cell>
          <cell r="BS67" t="e">
            <v>#DIV/0!</v>
          </cell>
          <cell r="BV67" t="e">
            <v>#DIV/0!</v>
          </cell>
          <cell r="BY67" t="e">
            <v>#DIV/0!</v>
          </cell>
          <cell r="CB67" t="e">
            <v>#DIV/0!</v>
          </cell>
          <cell r="CE67" t="e">
            <v>#DIV/0!</v>
          </cell>
        </row>
        <row r="69">
          <cell r="B69">
            <v>29</v>
          </cell>
        </row>
        <row r="70">
          <cell r="B70">
            <v>11</v>
          </cell>
        </row>
        <row r="71">
          <cell r="B71">
            <v>2</v>
          </cell>
        </row>
        <row r="72">
          <cell r="B72">
            <v>0</v>
          </cell>
        </row>
        <row r="73">
          <cell r="B73">
            <v>33</v>
          </cell>
        </row>
        <row r="75">
          <cell r="B75">
            <v>53</v>
          </cell>
        </row>
        <row r="76">
          <cell r="B76">
            <v>216131</v>
          </cell>
        </row>
      </sheetData>
      <sheetData sheetId="6">
        <row r="43">
          <cell r="H43">
            <v>245.30769230769232</v>
          </cell>
          <cell r="K43">
            <v>280.26923076923077</v>
          </cell>
          <cell r="N43">
            <v>273.33333333333331</v>
          </cell>
          <cell r="Q43">
            <v>310</v>
          </cell>
          <cell r="T43">
            <v>179.625</v>
          </cell>
          <cell r="W43">
            <v>242.63636363636363</v>
          </cell>
          <cell r="Z43">
            <v>367.13043478260869</v>
          </cell>
          <cell r="AC43">
            <v>282.61538461538464</v>
          </cell>
          <cell r="AF43">
            <v>159.04166666666666</v>
          </cell>
          <cell r="AI43">
            <v>309.5</v>
          </cell>
          <cell r="AL43">
            <v>397.64</v>
          </cell>
          <cell r="AO43">
            <v>225.44</v>
          </cell>
          <cell r="AR43">
            <v>208.52</v>
          </cell>
          <cell r="AU43">
            <v>244.28571428571428</v>
          </cell>
          <cell r="AX43">
            <v>273.15384615384613</v>
          </cell>
          <cell r="BA43">
            <v>241.95652173913044</v>
          </cell>
          <cell r="BD43">
            <v>181.91666666666666</v>
          </cell>
          <cell r="BG43">
            <v>102.59090909090909</v>
          </cell>
          <cell r="BJ43" t="e">
            <v>#DIV/0!</v>
          </cell>
          <cell r="BM43" t="e">
            <v>#DIV/0!</v>
          </cell>
          <cell r="BP43" t="e">
            <v>#DIV/0!</v>
          </cell>
          <cell r="BS43" t="e">
            <v>#DIV/0!</v>
          </cell>
          <cell r="BV43" t="e">
            <v>#DIV/0!</v>
          </cell>
          <cell r="BY43" t="e">
            <v>#DIV/0!</v>
          </cell>
          <cell r="CB43" t="e">
            <v>#DIV/0!</v>
          </cell>
          <cell r="CE43" t="e">
            <v>#DIV/0!</v>
          </cell>
        </row>
        <row r="45">
          <cell r="B45">
            <v>46</v>
          </cell>
        </row>
        <row r="46">
          <cell r="B46">
            <v>19</v>
          </cell>
        </row>
        <row r="47">
          <cell r="B47">
            <v>3</v>
          </cell>
        </row>
        <row r="48">
          <cell r="B48">
            <v>0</v>
          </cell>
        </row>
        <row r="49">
          <cell r="B49">
            <v>49</v>
          </cell>
        </row>
        <row r="51">
          <cell r="B51">
            <v>29</v>
          </cell>
        </row>
        <row r="52">
          <cell r="B52">
            <v>114259</v>
          </cell>
        </row>
      </sheetData>
      <sheetData sheetId="7">
        <row r="34">
          <cell r="H34">
            <v>153.46666666666667</v>
          </cell>
          <cell r="K34">
            <v>184.66666666666666</v>
          </cell>
          <cell r="N34">
            <v>134.80000000000001</v>
          </cell>
          <cell r="Q34">
            <v>186.72222222222223</v>
          </cell>
          <cell r="T34">
            <v>157.94444444444446</v>
          </cell>
          <cell r="W34">
            <v>285.68421052631578</v>
          </cell>
          <cell r="Z34">
            <v>223.25</v>
          </cell>
          <cell r="AC34">
            <v>139.83333333333334</v>
          </cell>
          <cell r="AF34">
            <v>92.21052631578948</v>
          </cell>
          <cell r="AI34">
            <v>144.42105263157896</v>
          </cell>
          <cell r="AL34">
            <v>211.26315789473685</v>
          </cell>
          <cell r="AO34">
            <v>193.78947368421052</v>
          </cell>
          <cell r="AR34">
            <v>176.1764705882353</v>
          </cell>
          <cell r="AU34">
            <v>191.94117647058823</v>
          </cell>
          <cell r="AX34">
            <v>175.68421052631578</v>
          </cell>
          <cell r="BA34">
            <v>222.57142857142858</v>
          </cell>
          <cell r="BD34">
            <v>158.16666666666666</v>
          </cell>
          <cell r="BG34">
            <v>96.066666666666663</v>
          </cell>
          <cell r="BJ34" t="e">
            <v>#DIV/0!</v>
          </cell>
          <cell r="BM34" t="e">
            <v>#DIV/0!</v>
          </cell>
          <cell r="BP34" t="e">
            <v>#DIV/0!</v>
          </cell>
          <cell r="BS34" t="e">
            <v>#DIV/0!</v>
          </cell>
          <cell r="BV34" t="e">
            <v>#DIV/0!</v>
          </cell>
          <cell r="BY34" t="e">
            <v>#DIV/0!</v>
          </cell>
          <cell r="CB34" t="e">
            <v>#DIV/0!</v>
          </cell>
          <cell r="CE34" t="e">
            <v>#DIV/0!</v>
          </cell>
        </row>
        <row r="36">
          <cell r="B36">
            <v>21</v>
          </cell>
        </row>
        <row r="37">
          <cell r="B37">
            <v>14</v>
          </cell>
        </row>
        <row r="38">
          <cell r="B38">
            <v>3</v>
          </cell>
        </row>
        <row r="39">
          <cell r="B39">
            <v>0</v>
          </cell>
        </row>
        <row r="40">
          <cell r="B40">
            <v>20</v>
          </cell>
        </row>
        <row r="42">
          <cell r="B42">
            <v>20</v>
          </cell>
        </row>
        <row r="43">
          <cell r="B43">
            <v>55235</v>
          </cell>
        </row>
      </sheetData>
      <sheetData sheetId="8">
        <row r="31">
          <cell r="H31">
            <v>78.166666666666671</v>
          </cell>
          <cell r="K31">
            <v>123.46153846153847</v>
          </cell>
          <cell r="N31">
            <v>64.8125</v>
          </cell>
          <cell r="Q31">
            <v>178.8125</v>
          </cell>
          <cell r="T31">
            <v>93.785714285714292</v>
          </cell>
          <cell r="W31">
            <v>102.5</v>
          </cell>
          <cell r="Z31">
            <v>120.92857142857143</v>
          </cell>
          <cell r="AC31">
            <v>60.625</v>
          </cell>
          <cell r="AF31">
            <v>106.58823529411765</v>
          </cell>
          <cell r="AI31">
            <v>57.866666666666667</v>
          </cell>
          <cell r="AL31">
            <v>217.58823529411765</v>
          </cell>
          <cell r="AO31">
            <v>66.5625</v>
          </cell>
          <cell r="AR31">
            <v>47.625</v>
          </cell>
          <cell r="AU31">
            <v>85.4375</v>
          </cell>
          <cell r="AX31">
            <v>121.76923076923077</v>
          </cell>
          <cell r="BA31">
            <v>52.375</v>
          </cell>
          <cell r="BD31">
            <v>91.8</v>
          </cell>
          <cell r="BG31">
            <v>85.6875</v>
          </cell>
          <cell r="BJ31" t="e">
            <v>#DIV/0!</v>
          </cell>
          <cell r="BM31" t="e">
            <v>#DIV/0!</v>
          </cell>
          <cell r="BP31" t="e">
            <v>#DIV/0!</v>
          </cell>
          <cell r="BS31" t="e">
            <v>#DIV/0!</v>
          </cell>
          <cell r="BV31" t="e">
            <v>#DIV/0!</v>
          </cell>
          <cell r="BY31" t="e">
            <v>#DIV/0!</v>
          </cell>
          <cell r="CB31" t="e">
            <v>#DIV/0!</v>
          </cell>
          <cell r="CE31" t="e">
            <v>#DIV/0!</v>
          </cell>
        </row>
        <row r="33">
          <cell r="B33">
            <v>13</v>
          </cell>
        </row>
        <row r="34">
          <cell r="B34">
            <v>10</v>
          </cell>
        </row>
        <row r="35">
          <cell r="B35">
            <v>2</v>
          </cell>
        </row>
        <row r="36">
          <cell r="B36">
            <v>0</v>
          </cell>
        </row>
        <row r="37">
          <cell r="B37">
            <v>11</v>
          </cell>
        </row>
        <row r="39">
          <cell r="B39">
            <v>17</v>
          </cell>
        </row>
        <row r="40">
          <cell r="B40">
            <v>26799</v>
          </cell>
        </row>
      </sheetData>
      <sheetData sheetId="9">
        <row r="33">
          <cell r="H33">
            <v>120.52941176470588</v>
          </cell>
          <cell r="K33">
            <v>210.33333333333334</v>
          </cell>
          <cell r="N33">
            <v>372.64705882352939</v>
          </cell>
          <cell r="Q33">
            <v>374.05263157894734</v>
          </cell>
          <cell r="T33">
            <v>299.94444444444446</v>
          </cell>
          <cell r="W33">
            <v>231.27777777777777</v>
          </cell>
          <cell r="Z33">
            <v>352.52941176470586</v>
          </cell>
          <cell r="AC33">
            <v>207.72222222222223</v>
          </cell>
          <cell r="AF33">
            <v>95.9375</v>
          </cell>
          <cell r="AI33">
            <v>157.78947368421052</v>
          </cell>
          <cell r="AL33">
            <v>234.05263157894737</v>
          </cell>
          <cell r="AO33">
            <v>158.33333333333334</v>
          </cell>
          <cell r="AR33">
            <v>383.83333333333331</v>
          </cell>
          <cell r="AU33">
            <v>251.16666666666666</v>
          </cell>
          <cell r="AX33">
            <v>334</v>
          </cell>
          <cell r="BA33">
            <v>393.83333333333331</v>
          </cell>
          <cell r="BD33">
            <v>195.42105263157896</v>
          </cell>
          <cell r="BG33">
            <v>170.27777777777777</v>
          </cell>
          <cell r="BJ33" t="e">
            <v>#DIV/0!</v>
          </cell>
          <cell r="BM33" t="e">
            <v>#DIV/0!</v>
          </cell>
          <cell r="BP33" t="e">
            <v>#DIV/0!</v>
          </cell>
          <cell r="BS33" t="e">
            <v>#DIV/0!</v>
          </cell>
          <cell r="BV33" t="e">
            <v>#DIV/0!</v>
          </cell>
          <cell r="BY33" t="e">
            <v>#DIV/0!</v>
          </cell>
          <cell r="CB33" t="e">
            <v>#DIV/0!</v>
          </cell>
          <cell r="CE33" t="e">
            <v>#DIV/0!</v>
          </cell>
        </row>
        <row r="35">
          <cell r="B35">
            <v>13</v>
          </cell>
        </row>
        <row r="36">
          <cell r="B36">
            <v>3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8</v>
          </cell>
        </row>
        <row r="41">
          <cell r="B41">
            <v>19</v>
          </cell>
        </row>
        <row r="42">
          <cell r="B42">
            <v>82044</v>
          </cell>
        </row>
      </sheetData>
      <sheetData sheetId="10">
        <row r="70">
          <cell r="H70">
            <v>220.67391304347825</v>
          </cell>
          <cell r="K70">
            <v>255.9387755102041</v>
          </cell>
          <cell r="N70">
            <v>188.55319148936169</v>
          </cell>
          <cell r="Q70">
            <v>314.91304347826087</v>
          </cell>
          <cell r="T70">
            <v>241.77272727272728</v>
          </cell>
          <cell r="W70">
            <v>255.30769230769232</v>
          </cell>
          <cell r="Z70">
            <v>299.55769230769232</v>
          </cell>
          <cell r="AC70">
            <v>140.62790697674419</v>
          </cell>
          <cell r="AF70">
            <v>204.97916666666666</v>
          </cell>
          <cell r="AI70">
            <v>327.44680851063828</v>
          </cell>
          <cell r="AL70">
            <v>296.7659574468085</v>
          </cell>
          <cell r="AO70">
            <v>194.0392156862745</v>
          </cell>
          <cell r="AR70">
            <v>276.31481481481484</v>
          </cell>
          <cell r="AU70">
            <v>200.36538461538461</v>
          </cell>
          <cell r="AX70">
            <v>189.55555555555554</v>
          </cell>
          <cell r="BA70">
            <v>211.13461538461539</v>
          </cell>
          <cell r="BD70">
            <v>293.4375</v>
          </cell>
          <cell r="BG70">
            <v>165.56521739130434</v>
          </cell>
          <cell r="BJ70" t="e">
            <v>#DIV/0!</v>
          </cell>
          <cell r="BM70" t="e">
            <v>#DIV/0!</v>
          </cell>
          <cell r="BP70" t="e">
            <v>#DIV/0!</v>
          </cell>
          <cell r="BS70" t="e">
            <v>#DIV/0!</v>
          </cell>
          <cell r="BV70" t="e">
            <v>#DIV/0!</v>
          </cell>
          <cell r="BY70" t="e">
            <v>#DIV/0!</v>
          </cell>
          <cell r="CB70" t="e">
            <v>#DIV/0!</v>
          </cell>
          <cell r="CE70" t="e">
            <v>#DIV/0!</v>
          </cell>
        </row>
        <row r="72">
          <cell r="B72">
            <v>70</v>
          </cell>
        </row>
        <row r="73">
          <cell r="B73">
            <v>45</v>
          </cell>
        </row>
        <row r="74">
          <cell r="B74">
            <v>7</v>
          </cell>
        </row>
        <row r="75">
          <cell r="B75">
            <v>0</v>
          </cell>
        </row>
        <row r="76">
          <cell r="B76">
            <v>71</v>
          </cell>
        </row>
        <row r="78">
          <cell r="B78">
            <v>56</v>
          </cell>
        </row>
        <row r="79">
          <cell r="B79">
            <v>208907</v>
          </cell>
        </row>
      </sheetData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URA 1"/>
      <sheetName val="IBURA 2"/>
      <sheetName val="IBURA 3"/>
      <sheetName val="JORDÃO"/>
      <sheetName val="COHAB 1"/>
      <sheetName val="COHAB 2"/>
      <sheetName val="COHAB 3"/>
      <sheetName val="COHAB 4"/>
    </sheetNames>
    <sheetDataSet>
      <sheetData sheetId="0">
        <row r="69">
          <cell r="H69">
            <v>202.75</v>
          </cell>
          <cell r="K69">
            <v>197.13725490196077</v>
          </cell>
          <cell r="N69">
            <v>227.71153846153845</v>
          </cell>
          <cell r="Q69">
            <v>232.10204081632654</v>
          </cell>
          <cell r="T69">
            <v>235.17307692307693</v>
          </cell>
          <cell r="W69">
            <v>248</v>
          </cell>
          <cell r="Z69">
            <v>190.03773584905662</v>
          </cell>
          <cell r="AC69">
            <v>177.14814814814815</v>
          </cell>
          <cell r="AF69">
            <v>91.538461538461533</v>
          </cell>
          <cell r="AI69">
            <v>181.49019607843138</v>
          </cell>
          <cell r="AL69">
            <v>237.9814814814815</v>
          </cell>
          <cell r="AO69">
            <v>228.01923076923077</v>
          </cell>
          <cell r="AR69">
            <v>211.49056603773585</v>
          </cell>
          <cell r="AU69">
            <v>117.52830188679245</v>
          </cell>
          <cell r="AX69">
            <v>168</v>
          </cell>
          <cell r="BA69">
            <v>120.67346938775511</v>
          </cell>
          <cell r="BD69">
            <v>164.75471698113208</v>
          </cell>
          <cell r="BG69">
            <v>81.166666666666671</v>
          </cell>
          <cell r="BJ69">
            <v>177.23076923076923</v>
          </cell>
          <cell r="BM69" t="e">
            <v>#DIV/0!</v>
          </cell>
          <cell r="BP69" t="e">
            <v>#DIV/0!</v>
          </cell>
          <cell r="BS69" t="e">
            <v>#DIV/0!</v>
          </cell>
          <cell r="BV69" t="e">
            <v>#DIV/0!</v>
          </cell>
          <cell r="BY69" t="e">
            <v>#DIV/0!</v>
          </cell>
          <cell r="CB69" t="e">
            <v>#DIV/0!</v>
          </cell>
          <cell r="CE69" t="e">
            <v>#DIV/0!</v>
          </cell>
        </row>
        <row r="71">
          <cell r="B71">
            <v>33</v>
          </cell>
        </row>
        <row r="72">
          <cell r="B72">
            <v>21</v>
          </cell>
        </row>
        <row r="73">
          <cell r="B73">
            <v>1</v>
          </cell>
        </row>
        <row r="74">
          <cell r="B74">
            <v>0</v>
          </cell>
        </row>
        <row r="75">
          <cell r="B75">
            <v>22</v>
          </cell>
        </row>
        <row r="77">
          <cell r="B77">
            <v>55</v>
          </cell>
        </row>
        <row r="78">
          <cell r="B78">
            <v>180170</v>
          </cell>
        </row>
      </sheetData>
      <sheetData sheetId="1">
        <row r="51">
          <cell r="G51">
            <v>142.43243243243242</v>
          </cell>
          <cell r="J51">
            <v>177.22857142857143</v>
          </cell>
          <cell r="M51">
            <v>222.94444444444446</v>
          </cell>
          <cell r="P51">
            <v>202.02702702702703</v>
          </cell>
          <cell r="S51">
            <v>290.65714285714284</v>
          </cell>
          <cell r="V51">
            <v>245.97222222222223</v>
          </cell>
          <cell r="Y51">
            <v>264.22222222222223</v>
          </cell>
          <cell r="AB51">
            <v>228.85714285714286</v>
          </cell>
          <cell r="AE51">
            <v>148.03125</v>
          </cell>
          <cell r="AH51">
            <v>279.02857142857141</v>
          </cell>
          <cell r="AK51">
            <v>241.05405405405406</v>
          </cell>
          <cell r="AN51">
            <v>215.75</v>
          </cell>
          <cell r="AQ51">
            <v>288</v>
          </cell>
          <cell r="AT51">
            <v>267.2</v>
          </cell>
          <cell r="AW51">
            <v>248.94117647058823</v>
          </cell>
          <cell r="AZ51">
            <v>223.55555555555554</v>
          </cell>
          <cell r="BC51">
            <v>231.4</v>
          </cell>
          <cell r="BF51">
            <v>229.44117647058823</v>
          </cell>
          <cell r="BI51">
            <v>202.16666666666666</v>
          </cell>
          <cell r="BL51" t="e">
            <v>#DIV/0!</v>
          </cell>
          <cell r="BO51" t="e">
            <v>#DIV/0!</v>
          </cell>
          <cell r="BR51" t="e">
            <v>#DIV/0!</v>
          </cell>
          <cell r="BU51" t="e">
            <v>#DIV/0!</v>
          </cell>
          <cell r="BX51" t="e">
            <v>#DIV/0!</v>
          </cell>
          <cell r="CA51" t="e">
            <v>#DIV/0!</v>
          </cell>
          <cell r="CD51" t="e">
            <v>#DIV/0!</v>
          </cell>
        </row>
        <row r="53">
          <cell r="B53">
            <v>12</v>
          </cell>
        </row>
        <row r="54">
          <cell r="B54">
            <v>8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25</v>
          </cell>
        </row>
        <row r="59">
          <cell r="B59">
            <v>37</v>
          </cell>
        </row>
        <row r="60">
          <cell r="B60">
            <v>153547</v>
          </cell>
        </row>
      </sheetData>
      <sheetData sheetId="2">
        <row r="43">
          <cell r="G43">
            <v>227.41379310344828</v>
          </cell>
          <cell r="J43">
            <v>346.9655172413793</v>
          </cell>
          <cell r="M43">
            <v>415.20689655172413</v>
          </cell>
          <cell r="P43">
            <v>450.06896551724139</v>
          </cell>
          <cell r="S43">
            <v>225.78571428571428</v>
          </cell>
          <cell r="V43">
            <v>186.17857142857142</v>
          </cell>
          <cell r="Y43">
            <v>366.13793103448273</v>
          </cell>
          <cell r="AB43">
            <v>234.48275862068965</v>
          </cell>
          <cell r="AE43">
            <v>243.65517241379311</v>
          </cell>
          <cell r="AH43">
            <v>379.13793103448273</v>
          </cell>
          <cell r="AK43">
            <v>212.27586206896552</v>
          </cell>
          <cell r="AN43">
            <v>372.79310344827587</v>
          </cell>
          <cell r="AQ43">
            <v>384.65517241379308</v>
          </cell>
          <cell r="AT43">
            <v>244.46428571428572</v>
          </cell>
          <cell r="AW43">
            <v>279.06896551724139</v>
          </cell>
          <cell r="AZ43">
            <v>278.37931034482756</v>
          </cell>
          <cell r="BC43">
            <v>328.34482758620692</v>
          </cell>
          <cell r="BF43">
            <v>273.89655172413791</v>
          </cell>
          <cell r="BI43">
            <v>384.79310344827587</v>
          </cell>
          <cell r="BL43" t="e">
            <v>#DIV/0!</v>
          </cell>
          <cell r="BO43" t="e">
            <v>#DIV/0!</v>
          </cell>
          <cell r="BR43" t="e">
            <v>#DIV/0!</v>
          </cell>
          <cell r="BU43" t="e">
            <v>#DIV/0!</v>
          </cell>
          <cell r="BX43" t="e">
            <v>#DIV/0!</v>
          </cell>
          <cell r="CA43" t="e">
            <v>#DIV/0!</v>
          </cell>
          <cell r="CD43" t="e">
            <v>#DIV/0!</v>
          </cell>
        </row>
        <row r="45">
          <cell r="B45">
            <v>0</v>
          </cell>
        </row>
        <row r="46">
          <cell r="B46">
            <v>2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1">
          <cell r="B51">
            <v>29</v>
          </cell>
        </row>
        <row r="52">
          <cell r="B52">
            <v>168521</v>
          </cell>
        </row>
      </sheetData>
      <sheetData sheetId="3">
        <row r="66">
          <cell r="G66">
            <v>225.84090909090909</v>
          </cell>
          <cell r="J66">
            <v>265.26086956521738</v>
          </cell>
          <cell r="M66">
            <v>281.36363636363637</v>
          </cell>
          <cell r="P66">
            <v>361.08163265306121</v>
          </cell>
          <cell r="S66">
            <v>283.875</v>
          </cell>
          <cell r="V66">
            <v>269.08695652173913</v>
          </cell>
          <cell r="Y66">
            <v>345.55319148936172</v>
          </cell>
          <cell r="AB66">
            <v>232.65853658536585</v>
          </cell>
          <cell r="AE66">
            <v>269.6829268292683</v>
          </cell>
          <cell r="AH66">
            <v>249.46666666666667</v>
          </cell>
          <cell r="AK66">
            <v>333.875</v>
          </cell>
          <cell r="AN66">
            <v>328.77777777777777</v>
          </cell>
          <cell r="AQ66">
            <v>182.53191489361703</v>
          </cell>
          <cell r="AT66">
            <v>182.52272727272728</v>
          </cell>
          <cell r="AW66">
            <v>311.65853658536588</v>
          </cell>
          <cell r="AZ66">
            <v>245.19565217391303</v>
          </cell>
          <cell r="BC66">
            <v>340.20833333333331</v>
          </cell>
          <cell r="BF66">
            <v>239.38095238095238</v>
          </cell>
          <cell r="BI66">
            <v>174.57894736842104</v>
          </cell>
          <cell r="BL66" t="e">
            <v>#DIV/0!</v>
          </cell>
          <cell r="BO66" t="e">
            <v>#DIV/0!</v>
          </cell>
          <cell r="BR66" t="e">
            <v>#DIV/0!</v>
          </cell>
          <cell r="BU66" t="e">
            <v>#DIV/0!</v>
          </cell>
          <cell r="BX66" t="e">
            <v>#DIV/0!</v>
          </cell>
          <cell r="CA66" t="e">
            <v>#DIV/0!</v>
          </cell>
          <cell r="CD66" t="e">
            <v>#DIV/0!</v>
          </cell>
        </row>
        <row r="68">
          <cell r="B68">
            <v>86</v>
          </cell>
        </row>
        <row r="69">
          <cell r="B69">
            <v>39</v>
          </cell>
        </row>
        <row r="70">
          <cell r="B70">
            <v>3</v>
          </cell>
        </row>
        <row r="71">
          <cell r="B71">
            <v>0</v>
          </cell>
        </row>
        <row r="72">
          <cell r="B72">
            <v>64</v>
          </cell>
        </row>
        <row r="74">
          <cell r="B74">
            <v>52</v>
          </cell>
        </row>
        <row r="75">
          <cell r="B75">
            <v>230785</v>
          </cell>
        </row>
      </sheetData>
      <sheetData sheetId="4">
        <row r="47">
          <cell r="G47">
            <v>244.29032258064515</v>
          </cell>
          <cell r="J47">
            <v>295.61290322580646</v>
          </cell>
          <cell r="M47">
            <v>478.6875</v>
          </cell>
          <cell r="P47">
            <v>381.84375</v>
          </cell>
          <cell r="S47">
            <v>343.09375</v>
          </cell>
          <cell r="V47">
            <v>332.15625</v>
          </cell>
          <cell r="Y47">
            <v>312.969696969697</v>
          </cell>
          <cell r="AB47">
            <v>252.75</v>
          </cell>
          <cell r="AE47">
            <v>228.21212121212122</v>
          </cell>
          <cell r="AH47">
            <v>310.78125</v>
          </cell>
          <cell r="AK47">
            <v>323.81818181818181</v>
          </cell>
          <cell r="AN47">
            <v>294.74193548387098</v>
          </cell>
          <cell r="AQ47">
            <v>221.38709677419354</v>
          </cell>
          <cell r="AT47">
            <v>208.87878787878788</v>
          </cell>
          <cell r="AW47">
            <v>229.35483870967741</v>
          </cell>
          <cell r="AZ47">
            <v>226</v>
          </cell>
          <cell r="BC47">
            <v>158.29032258064515</v>
          </cell>
          <cell r="BF47">
            <v>176.78571428571428</v>
          </cell>
          <cell r="BI47">
            <v>219.70967741935485</v>
          </cell>
          <cell r="BL47" t="e">
            <v>#DIV/0!</v>
          </cell>
          <cell r="BO47" t="e">
            <v>#DIV/0!</v>
          </cell>
          <cell r="BR47" t="e">
            <v>#DIV/0!</v>
          </cell>
          <cell r="BU47" t="e">
            <v>#DIV/0!</v>
          </cell>
          <cell r="BX47" t="e">
            <v>#DIV/0!</v>
          </cell>
          <cell r="CA47" t="e">
            <v>#DIV/0!</v>
          </cell>
          <cell r="CD47" t="e">
            <v>#DIV/0!</v>
          </cell>
        </row>
        <row r="49">
          <cell r="B49">
            <v>18</v>
          </cell>
        </row>
        <row r="50">
          <cell r="B50">
            <v>7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19</v>
          </cell>
        </row>
        <row r="55">
          <cell r="B55">
            <v>33</v>
          </cell>
        </row>
        <row r="56">
          <cell r="B56">
            <v>166363</v>
          </cell>
        </row>
      </sheetData>
      <sheetData sheetId="5">
        <row r="50">
          <cell r="G50">
            <v>156.90625</v>
          </cell>
          <cell r="J50">
            <v>435.41176470588238</v>
          </cell>
          <cell r="M50">
            <v>338.40625</v>
          </cell>
          <cell r="P50">
            <v>336.71428571428572</v>
          </cell>
          <cell r="S50">
            <v>349.78787878787881</v>
          </cell>
          <cell r="V50">
            <v>416.1764705882353</v>
          </cell>
          <cell r="Y50">
            <v>406.58823529411762</v>
          </cell>
          <cell r="AB50">
            <v>372</v>
          </cell>
          <cell r="AE50">
            <v>339.61764705882354</v>
          </cell>
          <cell r="AH50">
            <v>440.97142857142859</v>
          </cell>
          <cell r="AK50">
            <v>396.4</v>
          </cell>
          <cell r="AN50">
            <v>272.36363636363637</v>
          </cell>
          <cell r="AQ50">
            <v>365.75</v>
          </cell>
          <cell r="AT50">
            <v>347.03125</v>
          </cell>
          <cell r="AW50">
            <v>236.81818181818181</v>
          </cell>
          <cell r="AZ50">
            <v>346.4848484848485</v>
          </cell>
          <cell r="BC50">
            <v>350.8125</v>
          </cell>
          <cell r="BF50">
            <v>288</v>
          </cell>
          <cell r="BI50">
            <v>364.72413793103448</v>
          </cell>
          <cell r="BL50" t="e">
            <v>#DIV/0!</v>
          </cell>
          <cell r="BO50" t="e">
            <v>#DIV/0!</v>
          </cell>
          <cell r="BR50" t="e">
            <v>#DIV/0!</v>
          </cell>
          <cell r="BU50" t="e">
            <v>#DIV/0!</v>
          </cell>
          <cell r="BX50" t="e">
            <v>#DIV/0!</v>
          </cell>
          <cell r="CA50" t="e">
            <v>#DIV/0!</v>
          </cell>
          <cell r="CD50" t="e">
            <v>#DIV/0!</v>
          </cell>
        </row>
        <row r="52">
          <cell r="B52">
            <v>41</v>
          </cell>
        </row>
        <row r="53">
          <cell r="B53">
            <v>17</v>
          </cell>
        </row>
        <row r="54">
          <cell r="B54">
            <v>1</v>
          </cell>
        </row>
        <row r="55">
          <cell r="B55">
            <v>0</v>
          </cell>
        </row>
        <row r="56">
          <cell r="B56">
            <v>37</v>
          </cell>
        </row>
        <row r="58">
          <cell r="B58">
            <v>36</v>
          </cell>
        </row>
        <row r="59">
          <cell r="B59">
            <v>215916</v>
          </cell>
        </row>
      </sheetData>
      <sheetData sheetId="6">
        <row r="39">
          <cell r="G39">
            <v>188.72</v>
          </cell>
          <cell r="J39">
            <v>127.625</v>
          </cell>
          <cell r="M39">
            <v>291.08</v>
          </cell>
          <cell r="P39">
            <v>233.48</v>
          </cell>
          <cell r="S39">
            <v>147.63999999999999</v>
          </cell>
          <cell r="V39">
            <v>275.76</v>
          </cell>
          <cell r="Y39">
            <v>263.12</v>
          </cell>
          <cell r="AB39">
            <v>312.70833333333331</v>
          </cell>
          <cell r="AE39">
            <v>177.48</v>
          </cell>
          <cell r="AH39">
            <v>370.6</v>
          </cell>
          <cell r="AK39">
            <v>280.24</v>
          </cell>
          <cell r="AN39">
            <v>254.84</v>
          </cell>
          <cell r="AQ39">
            <v>149.28</v>
          </cell>
          <cell r="AT39">
            <v>224.48</v>
          </cell>
          <cell r="AW39">
            <v>278.36</v>
          </cell>
          <cell r="AZ39">
            <v>293.54166666666669</v>
          </cell>
          <cell r="BC39">
            <v>300.20833333333331</v>
          </cell>
          <cell r="BF39">
            <v>282</v>
          </cell>
          <cell r="BI39">
            <v>304.68</v>
          </cell>
          <cell r="BL39" t="e">
            <v>#DIV/0!</v>
          </cell>
          <cell r="BO39" t="e">
            <v>#DIV/0!</v>
          </cell>
          <cell r="BR39" t="e">
            <v>#DIV/0!</v>
          </cell>
          <cell r="BU39" t="e">
            <v>#DIV/0!</v>
          </cell>
          <cell r="BX39" t="e">
            <v>#DIV/0!</v>
          </cell>
          <cell r="CA39" t="e">
            <v>#DIV/0!</v>
          </cell>
          <cell r="CD39" t="e">
            <v>#DIV/0!</v>
          </cell>
        </row>
        <row r="41">
          <cell r="B41">
            <v>2</v>
          </cell>
        </row>
        <row r="42">
          <cell r="B42">
            <v>1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2</v>
          </cell>
        </row>
        <row r="47">
          <cell r="B47">
            <v>25</v>
          </cell>
        </row>
        <row r="48">
          <cell r="B48">
            <v>117862</v>
          </cell>
        </row>
      </sheetData>
      <sheetData sheetId="7">
        <row r="45">
          <cell r="G45">
            <v>183.24137931034483</v>
          </cell>
          <cell r="J45">
            <v>274.85714285714283</v>
          </cell>
          <cell r="M45">
            <v>307.43333333333334</v>
          </cell>
          <cell r="P45">
            <v>276.13333333333333</v>
          </cell>
          <cell r="S45">
            <v>258.38709677419354</v>
          </cell>
          <cell r="V45">
            <v>236.58064516129033</v>
          </cell>
          <cell r="Y45">
            <v>320</v>
          </cell>
          <cell r="AB45">
            <v>287.31034482758622</v>
          </cell>
          <cell r="AE45">
            <v>144.90322580645162</v>
          </cell>
          <cell r="AH45">
            <v>274.83333333333331</v>
          </cell>
          <cell r="AK45">
            <v>456.48275862068965</v>
          </cell>
          <cell r="AN45">
            <v>277.43333333333334</v>
          </cell>
          <cell r="AQ45">
            <v>304.86206896551727</v>
          </cell>
          <cell r="AT45">
            <v>243.23333333333332</v>
          </cell>
          <cell r="AW45">
            <v>210.2962962962963</v>
          </cell>
          <cell r="AZ45">
            <v>251.93103448275863</v>
          </cell>
          <cell r="BC45">
            <v>147.43333333333334</v>
          </cell>
          <cell r="BF45">
            <v>237.23076923076923</v>
          </cell>
          <cell r="BI45">
            <v>170.5185185185185</v>
          </cell>
          <cell r="BL45" t="e">
            <v>#DIV/0!</v>
          </cell>
          <cell r="BO45" t="e">
            <v>#DIV/0!</v>
          </cell>
          <cell r="BR45" t="e">
            <v>#DIV/0!</v>
          </cell>
          <cell r="BU45" t="e">
            <v>#DIV/0!</v>
          </cell>
          <cell r="BX45" t="e">
            <v>#DIV/0!</v>
          </cell>
          <cell r="CA45" t="e">
            <v>#DIV/0!</v>
          </cell>
          <cell r="CD45" t="e">
            <v>#DIV/0!</v>
          </cell>
        </row>
        <row r="47">
          <cell r="B47">
            <v>25</v>
          </cell>
        </row>
        <row r="48">
          <cell r="B48">
            <v>8</v>
          </cell>
        </row>
        <row r="49">
          <cell r="B49">
            <v>1</v>
          </cell>
        </row>
        <row r="50">
          <cell r="B50">
            <v>0</v>
          </cell>
        </row>
        <row r="51">
          <cell r="B51">
            <v>26</v>
          </cell>
        </row>
        <row r="53">
          <cell r="B53">
            <v>31</v>
          </cell>
        </row>
        <row r="54">
          <cell r="B54">
            <v>141768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5554.663829976853" createdVersion="5" refreshedVersion="5" minRefreshableVersion="3" recordCount="84">
  <cacheSource type="worksheet">
    <worksheetSource ref="A1:AI85" sheet="IDO E OUTROS DADOS"/>
  </cacheSource>
  <cacheFields count="35">
    <cacheField name="DS" numFmtId="0">
      <sharedItems count="8">
        <s v="I"/>
        <s v="II"/>
        <s v="III"/>
        <s v="IV"/>
        <s v="V"/>
        <s v="VI"/>
        <s v="VII"/>
        <s v="VIII"/>
      </sharedItems>
    </cacheField>
    <cacheField name="BAIRRO" numFmtId="0">
      <sharedItems/>
    </cacheField>
    <cacheField name="CICLO 1" numFmtId="1">
      <sharedItems containsSemiMixedTypes="0" containsString="0" containsNumber="1" minValue="54" maxValue="725.8"/>
    </cacheField>
    <cacheField name="CICLO 2" numFmtId="1">
      <sharedItems containsSemiMixedTypes="0" containsString="0" containsNumber="1" minValue="73.166666666666671" maxValue="527"/>
    </cacheField>
    <cacheField name="CICLO 3" numFmtId="1">
      <sharedItems containsSemiMixedTypes="0" containsString="0" containsNumber="1" minValue="39" maxValue="688.52173913043475"/>
    </cacheField>
    <cacheField name="CICLO 4" numFmtId="1">
      <sharedItems containsSemiMixedTypes="0" containsString="0" containsNumber="1" minValue="73.538461538461533" maxValue="755"/>
    </cacheField>
    <cacheField name="CICLO 5" numFmtId="1">
      <sharedItems containsSemiMixedTypes="0" containsString="0" containsNumber="1" minValue="49.666666666666664" maxValue="637.20000000000005"/>
    </cacheField>
    <cacheField name="CICLO 6" numFmtId="1">
      <sharedItems containsSemiMixedTypes="0" containsString="0" containsNumber="1" minValue="68.36363636363636" maxValue="550.79999999999995"/>
    </cacheField>
    <cacheField name="CICLO 7" numFmtId="1">
      <sharedItems containsSemiMixedTypes="0" containsString="0" containsNumber="1" minValue="57.230769230769234" maxValue="530.58333333333337"/>
    </cacheField>
    <cacheField name="CICLO 8" numFmtId="1">
      <sharedItems containsSemiMixedTypes="0" containsString="0" containsNumber="1" minValue="69.142857142857139" maxValue="575.79999999999995"/>
    </cacheField>
    <cacheField name="CICLO 9" numFmtId="1">
      <sharedItems containsSemiMixedTypes="0" containsString="0" containsNumber="1" minValue="83.333333333333329" maxValue="543.44444444444446"/>
    </cacheField>
    <cacheField name="CICLO 10" numFmtId="1">
      <sharedItems containsSemiMixedTypes="0" containsString="0" containsNumber="1" minValue="91.961538461538467" maxValue="463.3478260869565"/>
    </cacheField>
    <cacheField name="CICLO 11" numFmtId="1">
      <sharedItems containsSemiMixedTypes="0" containsString="0" containsNumber="1" minValue="42.166666666666664" maxValue="463.25"/>
    </cacheField>
    <cacheField name="CICLO 12" numFmtId="1">
      <sharedItems containsSemiMixedTypes="0" containsString="0" containsNumber="1" minValue="1.5" maxValue="389.83333333333331"/>
    </cacheField>
    <cacheField name="CICLO 13" numFmtId="1">
      <sharedItems containsSemiMixedTypes="0" containsString="0" containsNumber="1" minValue="0" maxValue="952.5"/>
    </cacheField>
    <cacheField name="CICLO 14" numFmtId="1">
      <sharedItems containsMixedTypes="1" containsNumber="1" minValue="55.285714285714285" maxValue="449.375" count="61">
        <n v="188.625"/>
        <n v="206.25"/>
        <n v="234.75"/>
        <n v="212.5"/>
        <n v="256.76923076923077"/>
        <n v="246.67901234567901"/>
        <n v="297"/>
        <n v="135.88888888888889"/>
        <n v="157.30769230769232"/>
        <n v="167.22727272727272"/>
        <n v="246.95238095238096"/>
        <n v="55.285714285714285"/>
        <n v="288.89285714285717"/>
        <n v="347.45833333333331"/>
        <n v="148.11111111111111"/>
        <n v="204.48387096774192"/>
        <n v="202.52941176470588"/>
        <n v="329.29411764705884"/>
        <n v="378.75"/>
        <n v="215.33333333333334"/>
        <n v="181.11111111111111"/>
        <n v="105.33333333333333"/>
        <n v="162.61904761904762"/>
        <n v="274.59090909090907"/>
        <n v="245.61904761904762"/>
        <n v="344.25"/>
        <n v="390.07142857142856"/>
        <n v="281.27272727272725"/>
        <n v="264.6521739130435"/>
        <n v="135.25"/>
        <n v="131.58333333333334"/>
        <n v="292.4375"/>
        <n v="259.67346938775512"/>
        <n v="154.14285714285714"/>
        <n v="164.46153846153845"/>
        <n v="99"/>
        <n v="261.44444444444446"/>
        <n v="137.1764705882353"/>
        <n v="98.384615384615387"/>
        <n v="172.81818181818181"/>
        <n v="227.71428571428572"/>
        <n v="449.375"/>
        <n v="135"/>
        <n v="159.6"/>
        <n v="112.86666666666666"/>
        <n v="144.33333333333334"/>
        <n v="168.17241379310346"/>
        <n v="273.36111111111109"/>
        <n v="166.74074074074073"/>
        <n v="143.91666666666666"/>
        <n v="127.28571428571429"/>
        <n v="242.36363636363637"/>
        <n v="203.61904761904762"/>
        <n v="231.66666666666666"/>
        <n v="249.24"/>
        <n v="335.45161290322579"/>
        <n v="420.4375"/>
        <n v="224.27272727272728"/>
        <n v="216.72413793103448"/>
        <n v="198.27272727272728"/>
        <e v="#DIV/0!"/>
      </sharedItems>
    </cacheField>
    <cacheField name="CICLO 15" numFmtId="1">
      <sharedItems/>
    </cacheField>
    <cacheField name="CICLO 16" numFmtId="1">
      <sharedItems/>
    </cacheField>
    <cacheField name="CICLO 17" numFmtId="1">
      <sharedItems/>
    </cacheField>
    <cacheField name="CICLO 18" numFmtId="1">
      <sharedItems/>
    </cacheField>
    <cacheField name="CICLO 19" numFmtId="1">
      <sharedItems/>
    </cacheField>
    <cacheField name="CICLO 20" numFmtId="1">
      <sharedItems/>
    </cacheField>
    <cacheField name="CICLO 21" numFmtId="1">
      <sharedItems/>
    </cacheField>
    <cacheField name="CICLO 22" numFmtId="1">
      <sharedItems/>
    </cacheField>
    <cacheField name="CICLO 23" numFmtId="1">
      <sharedItems/>
    </cacheField>
    <cacheField name="CICLO 24" numFmtId="1">
      <sharedItems/>
    </cacheField>
    <cacheField name="CICLO 25" numFmtId="1">
      <sharedItems/>
    </cacheField>
    <cacheField name="CICLO 26" numFmtId="1">
      <sharedItems/>
    </cacheField>
    <cacheField name="FECHADO ANUAL" numFmtId="0">
      <sharedItems containsSemiMixedTypes="0" containsString="0" containsNumber="1" containsInteger="1" minValue="0" maxValue="79"/>
    </cacheField>
    <cacheField name="EXTRAVIADO ANUAL" numFmtId="0">
      <sharedItems containsSemiMixedTypes="0" containsString="0" containsNumber="1" containsInteger="1" minValue="0" maxValue="111"/>
    </cacheField>
    <cacheField name="RECUSADO ANUAL" numFmtId="0">
      <sharedItems containsSemiMixedTypes="0" containsString="0" containsNumber="1" containsInteger="1" minValue="0" maxValue="2"/>
    </cacheField>
    <cacheField name="DESOCUPADO ANUAL" numFmtId="0">
      <sharedItems containsSemiMixedTypes="0" containsString="0" containsNumber="1" containsInteger="1" minValue="0" maxValue="1"/>
    </cacheField>
    <cacheField name="RECUPERADA ANUAL" numFmtId="0">
      <sharedItems containsSemiMixedTypes="0" containsString="0" containsNumber="1" containsInteger="1" minValue="0" maxValue="74"/>
    </cacheField>
    <cacheField name="QTD. PALHETAS ANUAL" numFmtId="0">
      <sharedItems containsSemiMixedTypes="0" containsString="0" containsNumber="1" containsInteger="1" minValue="3" maxValue="162"/>
    </cacheField>
    <cacheField name="QTD. OVOS ANUAL" numFmtId="0">
      <sharedItems containsSemiMixedTypes="0" containsString="0" containsNumber="1" containsInteger="1" minValue="4439" maxValue="3982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">
  <r>
    <x v="0"/>
    <s v="RECIFE"/>
    <n v="128.3125"/>
    <n v="270.58823529411762"/>
    <n v="195"/>
    <n v="138"/>
    <n v="168.41176470588235"/>
    <n v="139.75"/>
    <n v="141.64285714285714"/>
    <n v="139.15384615384616"/>
    <n v="118.8"/>
    <n v="184.875"/>
    <n v="220.94117647058823"/>
    <n v="232.0625"/>
    <n v="256.41176470588238"/>
    <x v="0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8"/>
    <n v="0"/>
    <n v="0"/>
    <n v="5"/>
    <n v="17"/>
    <n v="40263"/>
  </r>
  <r>
    <x v="0"/>
    <s v="SANTO ANTÔNIO"/>
    <n v="157.66666666666666"/>
    <n v="205.41666666666666"/>
    <n v="200.30769230769232"/>
    <n v="164.41666666666666"/>
    <n v="128.30769230769232"/>
    <n v="182.36363636363637"/>
    <n v="187.625"/>
    <n v="123.25"/>
    <n v="159.27272727272728"/>
    <n v="157.84615384615384"/>
    <n v="93.84615384615384"/>
    <n v="43.727272727272727"/>
    <n v="0"/>
    <x v="1"/>
    <e v="#DIV/0!"/>
    <e v="#DIV/0!"/>
    <e v="#DIV/0!"/>
    <e v="#DIV/0!"/>
    <e v="#DIV/0!"/>
    <e v="#DIV/0!"/>
    <e v="#DIV/0!"/>
    <e v="#DIV/0!"/>
    <e v="#DIV/0!"/>
    <e v="#DIV/0!"/>
    <e v="#DIV/0!"/>
    <e v="#DIV/0!"/>
    <n v="2"/>
    <n v="2"/>
    <n v="0"/>
    <n v="0"/>
    <n v="1"/>
    <n v="13"/>
    <n v="26102"/>
  </r>
  <r>
    <x v="0"/>
    <s v="COELHOS"/>
    <n v="308.41666666666669"/>
    <n v="220"/>
    <n v="170.91666666666666"/>
    <n v="221.90909090909091"/>
    <n v="104.54545454545455"/>
    <n v="192.91666666666666"/>
    <n v="136.41666666666666"/>
    <n v="298.75"/>
    <n v="268.16666666666669"/>
    <n v="232.16666666666666"/>
    <n v="274.25"/>
    <n v="323.33333333333331"/>
    <n v="229.58333333333334"/>
    <x v="2"/>
    <e v="#DIV/0!"/>
    <e v="#DIV/0!"/>
    <e v="#DIV/0!"/>
    <e v="#DIV/0!"/>
    <e v="#DIV/0!"/>
    <e v="#DIV/0!"/>
    <e v="#DIV/0!"/>
    <e v="#DIV/0!"/>
    <e v="#DIV/0!"/>
    <e v="#DIV/0!"/>
    <e v="#DIV/0!"/>
    <e v="#DIV/0!"/>
    <n v="2"/>
    <n v="0"/>
    <n v="0"/>
    <n v="0"/>
    <n v="0"/>
    <n v="12"/>
    <n v="38267"/>
  </r>
  <r>
    <x v="0"/>
    <s v="PAISSANDU"/>
    <n v="318.33333333333331"/>
    <n v="262"/>
    <n v="207.5"/>
    <n v="111.66666666666667"/>
    <n v="193.33333333333334"/>
    <n v="229.83333333333334"/>
    <n v="162.83333333333334"/>
    <n v="296.33333333333331"/>
    <n v="320.16666666666669"/>
    <n v="245.83333333333334"/>
    <n v="147.66666666666666"/>
    <n v="245"/>
    <n v="308.66666666666669"/>
    <x v="3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0"/>
    <n v="0"/>
    <n v="0"/>
    <n v="0"/>
    <n v="6"/>
    <n v="19570"/>
  </r>
  <r>
    <x v="0"/>
    <s v="CABANGA"/>
    <n v="222.5"/>
    <n v="171.07692307692307"/>
    <n v="148.16666666666666"/>
    <n v="134.08333333333334"/>
    <n v="120.4"/>
    <n v="248"/>
    <n v="57.230769230769234"/>
    <n v="144.75"/>
    <n v="224.69230769230768"/>
    <n v="145.69999999999999"/>
    <n v="137.33333333333334"/>
    <n v="94"/>
    <n v="253.15384615384616"/>
    <x v="4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3"/>
    <n v="0"/>
    <n v="0"/>
    <n v="1"/>
    <n v="13"/>
    <n v="28571"/>
  </r>
  <r>
    <x v="0"/>
    <s v="SANTO AMARO "/>
    <n v="183.33734939759037"/>
    <n v="175.96341463414635"/>
    <n v="203.92771084337349"/>
    <n v="206.1875"/>
    <n v="180.71951219512195"/>
    <n v="179.52380952380952"/>
    <n v="227.46153846153845"/>
    <n v="174.17500000000001"/>
    <n v="235.10843373493975"/>
    <n v="266.67088607594934"/>
    <n v="239.23170731707316"/>
    <n v="230.875"/>
    <n v="324.14814814814815"/>
    <x v="5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22"/>
    <n v="0"/>
    <n v="0"/>
    <n v="6"/>
    <n v="84"/>
    <n v="249547"/>
  </r>
  <r>
    <x v="0"/>
    <s v="ILHA DO LEITE"/>
    <n v="421.16666666666669"/>
    <n v="190.16666666666666"/>
    <n v="273.5"/>
    <n v="202.5"/>
    <n v="149.16666666666666"/>
    <n v="159.16666666666666"/>
    <n v="79.333333333333329"/>
    <n v="101"/>
    <n v="285.2"/>
    <n v="251.5"/>
    <n v="271.5"/>
    <n v="389.83333333333331"/>
    <n v="537.66666666666663"/>
    <x v="6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0"/>
    <n v="0"/>
    <n v="0"/>
    <n v="0"/>
    <n v="6"/>
    <n v="21367"/>
  </r>
  <r>
    <x v="0"/>
    <s v="SOLEDADE"/>
    <n v="305.11111111111109"/>
    <n v="95.333333333333329"/>
    <n v="149.66666666666666"/>
    <n v="226.77777777777777"/>
    <n v="111.66666666666667"/>
    <n v="136.22222222222223"/>
    <n v="244.66666666666666"/>
    <n v="254.88888888888889"/>
    <n v="543.44444444444446"/>
    <n v="281.77777777777777"/>
    <n v="249.44444444444446"/>
    <n v="279.55555555555554"/>
    <n v="205.66666666666666"/>
    <x v="7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0"/>
    <n v="0"/>
    <n v="0"/>
    <n v="0"/>
    <n v="9"/>
    <n v="28981"/>
  </r>
  <r>
    <x v="0"/>
    <s v="SÃO JOSÉ "/>
    <n v="149.11904761904762"/>
    <n v="161.95121951219511"/>
    <n v="128.25"/>
    <n v="154.1"/>
    <n v="150.02702702702703"/>
    <n v="147.89743589743588"/>
    <n v="133.5"/>
    <n v="116.46341463414635"/>
    <n v="148.7948717948718"/>
    <n v="131.53658536585365"/>
    <n v="101.38095238095238"/>
    <n v="134.64864864864865"/>
    <n v="274"/>
    <x v="8"/>
    <e v="#DIV/0!"/>
    <e v="#DIV/0!"/>
    <e v="#DIV/0!"/>
    <e v="#DIV/0!"/>
    <e v="#DIV/0!"/>
    <e v="#DIV/0!"/>
    <e v="#DIV/0!"/>
    <e v="#DIV/0!"/>
    <e v="#DIV/0!"/>
    <e v="#DIV/0!"/>
    <e v="#DIV/0!"/>
    <e v="#DIV/0!"/>
    <n v="14"/>
    <n v="10"/>
    <n v="0"/>
    <n v="0"/>
    <n v="8"/>
    <n v="42"/>
    <n v="82621"/>
  </r>
  <r>
    <x v="0"/>
    <s v="ILHA JOANA BEZERRA"/>
    <n v="146.72727272727272"/>
    <n v="114.85714285714286"/>
    <n v="89"/>
    <n v="144.85714285714286"/>
    <n v="66.227272727272734"/>
    <n v="145.14285714285714"/>
    <n v="116.45454545454545"/>
    <n v="88.36363636363636"/>
    <n v="118.54545454545455"/>
    <n v="142.63636363636363"/>
    <n v="110.22727272727273"/>
    <n v="143.76190476190476"/>
    <n v="214.28571428571428"/>
    <x v="9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2"/>
    <n v="0"/>
    <n v="0"/>
    <n v="1"/>
    <n v="22"/>
    <n v="38931"/>
  </r>
  <r>
    <x v="0"/>
    <s v="BOA VISTA"/>
    <n v="256.35555555555555"/>
    <n v="402.8"/>
    <n v="292.09523809523807"/>
    <n v="251.33333333333334"/>
    <n v="212.02325581395348"/>
    <n v="297.72093023255815"/>
    <n v="249.13953488372093"/>
    <n v="226.8"/>
    <n v="228.75555555555556"/>
    <n v="202.53333333333333"/>
    <n v="197.67441860465115"/>
    <n v="243.72727272727272"/>
    <n v="282.84090909090907"/>
    <x v="10"/>
    <e v="#DIV/0!"/>
    <e v="#DIV/0!"/>
    <e v="#DIV/0!"/>
    <e v="#DIV/0!"/>
    <e v="#DIV/0!"/>
    <e v="#DIV/0!"/>
    <e v="#DIV/0!"/>
    <e v="#DIV/0!"/>
    <e v="#DIV/0!"/>
    <e v="#DIV/0!"/>
    <e v="#DIV/0!"/>
    <e v="#DIV/0!"/>
    <n v="5"/>
    <n v="11"/>
    <n v="0"/>
    <n v="0"/>
    <n v="3"/>
    <n v="45"/>
    <n v="156773"/>
  </r>
  <r>
    <x v="1"/>
    <s v="ROSARINHO "/>
    <n v="304.28571428571428"/>
    <n v="251.57142857142858"/>
    <n v="283.14285714285717"/>
    <n v="322.42857142857144"/>
    <n v="88.571428571428569"/>
    <n v="245.83333333333334"/>
    <n v="174.42857142857142"/>
    <n v="159.57142857142858"/>
    <n v="154"/>
    <n v="118.42857142857143"/>
    <n v="91.142857142857139"/>
    <n v="66.5"/>
    <n v="4.4285714285714288"/>
    <x v="11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2"/>
    <n v="0"/>
    <n v="0"/>
    <n v="1"/>
    <n v="7"/>
    <n v="16623"/>
  </r>
  <r>
    <x v="1"/>
    <s v="LINHA DO TIRO"/>
    <n v="347.40740740740739"/>
    <n v="252.07142857142858"/>
    <n v="248.33333333333334"/>
    <n v="199.96296296296296"/>
    <n v="233.07142857142858"/>
    <n v="357.92857142857144"/>
    <n v="281.92857142857144"/>
    <n v="308.10714285714283"/>
    <n v="311.32142857142856"/>
    <n v="299.57142857142856"/>
    <n v="342.92592592592592"/>
    <n v="237.78571428571428"/>
    <n v="342.66666666666669"/>
    <x v="12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1"/>
    <n v="1"/>
    <n v="1"/>
    <n v="1"/>
    <n v="28"/>
    <n v="111974"/>
  </r>
  <r>
    <x v="1"/>
    <s v="ENCRUZILHADA "/>
    <n v="205.2"/>
    <n v="195.80769230769232"/>
    <n v="203.38461538461539"/>
    <n v="274.65384615384613"/>
    <n v="244.95833333333334"/>
    <n v="421.8"/>
    <n v="530.58333333333337"/>
    <n v="288"/>
    <n v="375.5"/>
    <n v="178.64"/>
    <n v="264.39999999999998"/>
    <n v="299.23076923076923"/>
    <n v="248.08"/>
    <x v="13"/>
    <e v="#DIV/0!"/>
    <e v="#DIV/0!"/>
    <e v="#DIV/0!"/>
    <e v="#DIV/0!"/>
    <e v="#DIV/0!"/>
    <e v="#DIV/0!"/>
    <e v="#DIV/0!"/>
    <e v="#DIV/0!"/>
    <e v="#DIV/0!"/>
    <e v="#DIV/0!"/>
    <e v="#DIV/0!"/>
    <e v="#DIV/0!"/>
    <n v="5"/>
    <n v="7"/>
    <n v="0"/>
    <n v="0"/>
    <n v="6"/>
    <n v="26"/>
    <n v="101417"/>
  </r>
  <r>
    <x v="1"/>
    <s v="DOIS UNIDOS"/>
    <n v="244.32258064516128"/>
    <n v="287.36507936507934"/>
    <n v="201.83076923076922"/>
    <n v="204.14285714285714"/>
    <n v="146.921875"/>
    <n v="203.859375"/>
    <n v="255.13793103448276"/>
    <n v="192.31746031746033"/>
    <n v="173.875"/>
    <n v="186.84615384615384"/>
    <n v="233.53125"/>
    <n v="166.265625"/>
    <n v="233.93548387096774"/>
    <x v="14"/>
    <e v="#DIV/0!"/>
    <e v="#DIV/0!"/>
    <e v="#DIV/0!"/>
    <e v="#DIV/0!"/>
    <e v="#DIV/0!"/>
    <e v="#DIV/0!"/>
    <e v="#DIV/0!"/>
    <e v="#DIV/0!"/>
    <e v="#DIV/0!"/>
    <e v="#DIV/0!"/>
    <e v="#DIV/0!"/>
    <e v="#DIV/0!"/>
    <n v="25"/>
    <n v="38"/>
    <n v="0"/>
    <n v="0"/>
    <n v="25"/>
    <n v="68"/>
    <n v="181291"/>
  </r>
  <r>
    <x v="1"/>
    <s v="ÁGUA FRIA "/>
    <n v="348.16949152542372"/>
    <n v="196.55737704918033"/>
    <n v="184.35483870967741"/>
    <n v="248.01639344262296"/>
    <n v="290.36065573770492"/>
    <n v="212.49180327868854"/>
    <n v="263.04838709677421"/>
    <n v="180.85714285714286"/>
    <n v="201.29310344827587"/>
    <n v="179.98387096774192"/>
    <n v="241.20967741935485"/>
    <n v="196.93548387096774"/>
    <n v="326.62295081967216"/>
    <x v="15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28"/>
    <n v="1"/>
    <n v="0"/>
    <n v="25"/>
    <n v="64"/>
    <n v="200069"/>
  </r>
  <r>
    <x v="1"/>
    <s v="CAJUEIRO "/>
    <n v="274.53333333333336"/>
    <n v="177.5625"/>
    <n v="125.14285714285714"/>
    <n v="235.85714285714286"/>
    <n v="158.71428571428572"/>
    <n v="315.91666666666669"/>
    <n v="190.13333333333333"/>
    <n v="259.0625"/>
    <n v="181.06666666666666"/>
    <n v="176.58823529411765"/>
    <n v="208.70588235294119"/>
    <n v="279.0625"/>
    <n v="309.375"/>
    <x v="16"/>
    <e v="#DIV/0!"/>
    <e v="#DIV/0!"/>
    <e v="#DIV/0!"/>
    <e v="#DIV/0!"/>
    <e v="#DIV/0!"/>
    <e v="#DIV/0!"/>
    <e v="#DIV/0!"/>
    <e v="#DIV/0!"/>
    <e v="#DIV/0!"/>
    <e v="#DIV/0!"/>
    <e v="#DIV/0!"/>
    <e v="#DIV/0!"/>
    <n v="8"/>
    <n v="13"/>
    <n v="0"/>
    <n v="0"/>
    <n v="10"/>
    <n v="17"/>
    <n v="47147"/>
  </r>
  <r>
    <x v="1"/>
    <s v="BEBERIBE "/>
    <n v="497.11764705882354"/>
    <n v="176.8235294117647"/>
    <n v="217"/>
    <n v="386.11764705882354"/>
    <n v="356.1764705882353"/>
    <n v="404.4375"/>
    <n v="406.05882352941177"/>
    <n v="540.29411764705878"/>
    <n v="266"/>
    <n v="246.35294117647058"/>
    <n v="176.76470588235293"/>
    <n v="302.3125"/>
    <n v="314.94117647058823"/>
    <x v="17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0"/>
    <n v="0"/>
    <n v="0"/>
    <n v="0"/>
    <n v="17"/>
    <n v="77828"/>
  </r>
  <r>
    <x v="1"/>
    <s v="PORTO DA MADEIRA "/>
    <n v="302.81818181818181"/>
    <n v="270.69230769230768"/>
    <n v="124"/>
    <n v="180.90909090909091"/>
    <n v="98.25"/>
    <n v="206.5"/>
    <n v="225"/>
    <n v="122.5"/>
    <n v="160.75"/>
    <n v="193.92307692307693"/>
    <n v="355.76923076923077"/>
    <n v="249.69230769230768"/>
    <n v="280.18181818181819"/>
    <x v="18"/>
    <e v="#DIV/0!"/>
    <e v="#DIV/0!"/>
    <e v="#DIV/0!"/>
    <e v="#DIV/0!"/>
    <e v="#DIV/0!"/>
    <e v="#DIV/0!"/>
    <e v="#DIV/0!"/>
    <e v="#DIV/0!"/>
    <e v="#DIV/0!"/>
    <e v="#DIV/0!"/>
    <e v="#DIV/0!"/>
    <e v="#DIV/0!"/>
    <n v="5"/>
    <n v="7"/>
    <n v="0"/>
    <n v="0"/>
    <n v="3"/>
    <n v="13"/>
    <n v="38328"/>
  </r>
  <r>
    <x v="1"/>
    <s v="FUNDÃO "/>
    <n v="221.8"/>
    <n v="145.4375"/>
    <n v="202.0625"/>
    <n v="274.86666666666667"/>
    <n v="169.375"/>
    <n v="390.46666666666664"/>
    <n v="142.21428571428572"/>
    <n v="179.25"/>
    <n v="353.86666666666667"/>
    <n v="189.73333333333332"/>
    <n v="195.26666666666668"/>
    <n v="216.6"/>
    <n v="309.66666666666669"/>
    <x v="19"/>
    <e v="#DIV/0!"/>
    <e v="#DIV/0!"/>
    <e v="#DIV/0!"/>
    <e v="#DIV/0!"/>
    <e v="#DIV/0!"/>
    <e v="#DIV/0!"/>
    <e v="#DIV/0!"/>
    <e v="#DIV/0!"/>
    <e v="#DIV/0!"/>
    <e v="#DIV/0!"/>
    <e v="#DIV/0!"/>
    <e v="#DIV/0!"/>
    <n v="5"/>
    <n v="6"/>
    <n v="0"/>
    <n v="0"/>
    <n v="5"/>
    <n v="16"/>
    <n v="48643"/>
  </r>
  <r>
    <x v="1"/>
    <s v="HIPÓDROMO "/>
    <n v="136.25"/>
    <n v="156.5"/>
    <n v="95.666666666666671"/>
    <n v="118"/>
    <n v="100.44444444444444"/>
    <n v="211.44444444444446"/>
    <n v="246.11111111111111"/>
    <n v="153.11111111111111"/>
    <n v="135.375"/>
    <n v="156.57142857142858"/>
    <n v="121.22222222222223"/>
    <n v="94.777777777777771"/>
    <n v="79.444444444444443"/>
    <x v="20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4"/>
    <n v="0"/>
    <n v="0"/>
    <n v="4"/>
    <n v="9"/>
    <n v="17015"/>
  </r>
  <r>
    <x v="1"/>
    <s v="TORREÃO "/>
    <n v="54"/>
    <n v="170.33333333333334"/>
    <n v="60.666666666666664"/>
    <n v="90.666666666666671"/>
    <n v="114.33333333333333"/>
    <n v="109.33333333333333"/>
    <n v="95"/>
    <n v="97.666666666666671"/>
    <n v="83.333333333333329"/>
    <n v="123.66666666666667"/>
    <n v="163.33333333333334"/>
    <n v="68.333333333333329"/>
    <n v="161.66666666666666"/>
    <x v="21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0"/>
    <n v="0"/>
    <n v="0"/>
    <n v="0"/>
    <n v="3"/>
    <n v="4439"/>
  </r>
  <r>
    <x v="1"/>
    <s v="BOMBA DO HEMETÉRIO "/>
    <n v="162.4375"/>
    <n v="232.85"/>
    <n v="128.22222222222223"/>
    <n v="209.26315789473685"/>
    <n v="107.65"/>
    <n v="131.55555555555554"/>
    <n v="295.3"/>
    <n v="175.3"/>
    <n v="231.25"/>
    <n v="138.44999999999999"/>
    <n v="153.47619047619048"/>
    <n v="159.94999999999999"/>
    <n v="179.14285714285714"/>
    <x v="22"/>
    <e v="#DIV/0!"/>
    <e v="#DIV/0!"/>
    <e v="#DIV/0!"/>
    <e v="#DIV/0!"/>
    <e v="#DIV/0!"/>
    <e v="#DIV/0!"/>
    <e v="#DIV/0!"/>
    <e v="#DIV/0!"/>
    <e v="#DIV/0!"/>
    <e v="#DIV/0!"/>
    <e v="#DIV/0!"/>
    <e v="#DIV/0!"/>
    <n v="4"/>
    <n v="11"/>
    <n v="0"/>
    <n v="0"/>
    <n v="6"/>
    <n v="21"/>
    <n v="48466"/>
  </r>
  <r>
    <x v="1"/>
    <s v="CAMPINA DO BARRETO "/>
    <n v="418.21739130434781"/>
    <n v="230.2608695652174"/>
    <n v="164.66666666666666"/>
    <n v="463.56521739130437"/>
    <n v="359.70833333333331"/>
    <n v="359.875"/>
    <n v="317.47826086956519"/>
    <n v="311.21739130434781"/>
    <n v="248.54166666666666"/>
    <n v="463.3478260869565"/>
    <n v="291.66666666666669"/>
    <n v="291.29166666666669"/>
    <n v="430.68181818181819"/>
    <x v="23"/>
    <e v="#DIV/0!"/>
    <e v="#DIV/0!"/>
    <e v="#DIV/0!"/>
    <e v="#DIV/0!"/>
    <e v="#DIV/0!"/>
    <e v="#DIV/0!"/>
    <e v="#DIV/0!"/>
    <e v="#DIV/0!"/>
    <e v="#DIV/0!"/>
    <e v="#DIV/0!"/>
    <e v="#DIV/0!"/>
    <e v="#DIV/0!"/>
    <n v="4"/>
    <n v="5"/>
    <n v="0"/>
    <n v="0"/>
    <n v="5"/>
    <n v="24"/>
    <n v="107388"/>
  </r>
  <r>
    <x v="1"/>
    <s v="ARRUDA "/>
    <n v="193"/>
    <n v="130.94999999999999"/>
    <n v="184.35"/>
    <n v="210.18181818181819"/>
    <n v="160.15"/>
    <n v="186.38095238095238"/>
    <n v="208.63636363636363"/>
    <n v="187.76190476190476"/>
    <n v="114.04761904761905"/>
    <n v="194"/>
    <n v="205.33333333333334"/>
    <n v="206.5"/>
    <n v="397.78947368421052"/>
    <x v="24"/>
    <e v="#DIV/0!"/>
    <e v="#DIV/0!"/>
    <e v="#DIV/0!"/>
    <e v="#DIV/0!"/>
    <e v="#DIV/0!"/>
    <e v="#DIV/0!"/>
    <e v="#DIV/0!"/>
    <e v="#DIV/0!"/>
    <e v="#DIV/0!"/>
    <e v="#DIV/0!"/>
    <e v="#DIV/0!"/>
    <e v="#DIV/0!"/>
    <n v="12"/>
    <n v="4"/>
    <n v="0"/>
    <n v="0"/>
    <n v="4"/>
    <n v="22"/>
    <n v="58259"/>
  </r>
  <r>
    <x v="1"/>
    <s v="PONTO DE PARADA "/>
    <n v="263.25"/>
    <n v="418.25"/>
    <n v="350.75"/>
    <n v="755"/>
    <n v="586.5"/>
    <n v="547"/>
    <n v="231.5"/>
    <n v="423"/>
    <n v="131"/>
    <n v="340.5"/>
    <n v="463.25"/>
    <n v="209.25"/>
    <n v="952.5"/>
    <x v="25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0"/>
    <n v="0"/>
    <n v="0"/>
    <n v="1"/>
    <n v="4"/>
    <n v="23309"/>
  </r>
  <r>
    <x v="1"/>
    <s v="PEIXINHOS"/>
    <n v="217.85714285714286"/>
    <n v="171.33333333333334"/>
    <n v="149.72727272727272"/>
    <n v="272.64285714285717"/>
    <n v="142.4"/>
    <n v="200.38461538461539"/>
    <n v="196.42857142857142"/>
    <n v="241.5"/>
    <n v="184.76923076923077"/>
    <n v="160.42857142857142"/>
    <n v="204.78571428571428"/>
    <n v="247.57142857142858"/>
    <n v="265.53333333333336"/>
    <x v="26"/>
    <e v="#DIV/0!"/>
    <e v="#DIV/0!"/>
    <e v="#DIV/0!"/>
    <e v="#DIV/0!"/>
    <e v="#DIV/0!"/>
    <e v="#DIV/0!"/>
    <e v="#DIV/0!"/>
    <e v="#DIV/0!"/>
    <e v="#DIV/0!"/>
    <e v="#DIV/0!"/>
    <e v="#DIV/0!"/>
    <e v="#DIV/0!"/>
    <n v="4"/>
    <n v="9"/>
    <n v="0"/>
    <n v="0"/>
    <n v="8"/>
    <n v="15"/>
    <n v="42381"/>
  </r>
  <r>
    <x v="1"/>
    <s v="ALTO SANTA TEREZINHA "/>
    <n v="147.1"/>
    <n v="73.166666666666671"/>
    <n v="39"/>
    <n v="198"/>
    <n v="110.27272727272727"/>
    <n v="427.18181818181819"/>
    <n v="180.6"/>
    <n v="93.272727272727266"/>
    <n v="186.45454545454547"/>
    <n v="260.27272727272725"/>
    <n v="195.2"/>
    <n v="202.54545454545453"/>
    <n v="325.89999999999998"/>
    <x v="27"/>
    <e v="#DIV/0!"/>
    <e v="#DIV/0!"/>
    <e v="#DIV/0!"/>
    <e v="#DIV/0!"/>
    <e v="#DIV/0!"/>
    <e v="#DIV/0!"/>
    <e v="#DIV/0!"/>
    <e v="#DIV/0!"/>
    <e v="#DIV/0!"/>
    <e v="#DIV/0!"/>
    <e v="#DIV/0!"/>
    <e v="#DIV/0!"/>
    <n v="15"/>
    <n v="13"/>
    <n v="0"/>
    <n v="0"/>
    <n v="7"/>
    <n v="13"/>
    <n v="28988"/>
  </r>
  <r>
    <x v="1"/>
    <s v="CAMPO GRANDE "/>
    <n v="313.84444444444443"/>
    <n v="189.69565217391303"/>
    <n v="244.65957446808511"/>
    <n v="161.89583333333334"/>
    <n v="342.59523809523807"/>
    <n v="257.73333333333335"/>
    <n v="225.13333333333333"/>
    <n v="244.625"/>
    <n v="322.82608695652175"/>
    <n v="211.60416666666666"/>
    <n v="274.30612244897958"/>
    <n v="325.26086956521738"/>
    <n v="293.39999999999998"/>
    <x v="28"/>
    <e v="#DIV/0!"/>
    <e v="#DIV/0!"/>
    <e v="#DIV/0!"/>
    <e v="#DIV/0!"/>
    <e v="#DIV/0!"/>
    <e v="#DIV/0!"/>
    <e v="#DIV/0!"/>
    <e v="#DIV/0!"/>
    <e v="#DIV/0!"/>
    <e v="#DIV/0!"/>
    <e v="#DIV/0!"/>
    <e v="#DIV/0!"/>
    <n v="59"/>
    <n v="35"/>
    <n v="0"/>
    <n v="0"/>
    <n v="23"/>
    <n v="53"/>
    <n v="168766"/>
  </r>
  <r>
    <x v="2"/>
    <s v="APIPUCOS"/>
    <n v="210.1764705882353"/>
    <n v="130.13636363636363"/>
    <n v="145.52631578947367"/>
    <n v="218.60869565217391"/>
    <n v="237.47826086956522"/>
    <n v="188.13043478260869"/>
    <n v="179.77272727272728"/>
    <n v="131.76190476190476"/>
    <n v="129"/>
    <n v="174.29166666666666"/>
    <n v="186.04166666666666"/>
    <n v="104.04761904761905"/>
    <n v="178.68181818181819"/>
    <x v="29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18"/>
    <n v="1"/>
    <n v="0"/>
    <n v="15"/>
    <n v="24"/>
    <n v="51717"/>
  </r>
  <r>
    <x v="2"/>
    <s v="DOIS IRMÃOS"/>
    <n v="307.94594594594594"/>
    <n v="165.32432432432432"/>
    <n v="177.08333333333334"/>
    <n v="223.69444444444446"/>
    <n v="195.81081081081081"/>
    <n v="224.86111111111111"/>
    <n v="157.02702702702703"/>
    <n v="204.11111111111111"/>
    <n v="177.47222222222223"/>
    <n v="110.94594594594595"/>
    <n v="203.72972972972974"/>
    <n v="104.16666666666667"/>
    <n v="125.4054054054054"/>
    <x v="30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3"/>
    <n v="0"/>
    <n v="0"/>
    <n v="0"/>
    <n v="37"/>
    <n v="91596"/>
  </r>
  <r>
    <x v="2"/>
    <s v="MONTEIRO"/>
    <n v="418.8"/>
    <n v="418.70588235294116"/>
    <n v="368.66666666666669"/>
    <n v="271.8235294117647"/>
    <n v="350.70588235294116"/>
    <n v="380.41176470588238"/>
    <n v="434.41176470588238"/>
    <n v="368"/>
    <n v="299.1764705882353"/>
    <n v="280.5"/>
    <n v="207.29411764705881"/>
    <n v="174.8"/>
    <n v="340.05882352941177"/>
    <x v="31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6"/>
    <n v="0"/>
    <n v="0"/>
    <n v="4"/>
    <n v="17"/>
    <n v="75801"/>
  </r>
  <r>
    <x v="2"/>
    <s v="CASA AMARELA "/>
    <n v="266.88888888888891"/>
    <n v="293.95833333333331"/>
    <n v="192.5"/>
    <n v="271.36956521739131"/>
    <n v="327.72727272727275"/>
    <n v="301.85714285714283"/>
    <n v="167.44186046511629"/>
    <n v="240.51219512195121"/>
    <n v="177.86956521739131"/>
    <n v="204.2340425531915"/>
    <n v="181.77777777777777"/>
    <n v="139.02380952380952"/>
    <n v="297.5609756097561"/>
    <x v="32"/>
    <e v="#DIV/0!"/>
    <e v="#DIV/0!"/>
    <e v="#DIV/0!"/>
    <e v="#DIV/0!"/>
    <e v="#DIV/0!"/>
    <e v="#DIV/0!"/>
    <e v="#DIV/0!"/>
    <e v="#DIV/0!"/>
    <e v="#DIV/0!"/>
    <e v="#DIV/0!"/>
    <e v="#DIV/0!"/>
    <e v="#DIV/0!"/>
    <n v="32"/>
    <n v="60"/>
    <n v="0"/>
    <n v="0"/>
    <n v="43"/>
    <n v="52"/>
    <n v="150839"/>
  </r>
  <r>
    <x v="2"/>
    <s v="ALTO DO MANDU"/>
    <n v="152.88888888888889"/>
    <n v="100.66666666666667"/>
    <n v="173.42857142857142"/>
    <n v="322.83333333333331"/>
    <n v="311.14285714285717"/>
    <n v="173.14285714285714"/>
    <n v="78.5"/>
    <n v="109"/>
    <n v="137.33333333333334"/>
    <n v="221.125"/>
    <n v="42.166666666666664"/>
    <n v="100.4"/>
    <n v="130.57142857142858"/>
    <x v="33"/>
    <e v="#DIV/0!"/>
    <e v="#DIV/0!"/>
    <e v="#DIV/0!"/>
    <e v="#DIV/0!"/>
    <e v="#DIV/0!"/>
    <e v="#DIV/0!"/>
    <e v="#DIV/0!"/>
    <e v="#DIV/0!"/>
    <e v="#DIV/0!"/>
    <e v="#DIV/0!"/>
    <e v="#DIV/0!"/>
    <e v="#DIV/0!"/>
    <n v="7"/>
    <n v="14"/>
    <n v="0"/>
    <n v="0"/>
    <n v="11"/>
    <n v="9"/>
    <n v="15858"/>
  </r>
  <r>
    <x v="2"/>
    <s v="CASA FORTE"/>
    <n v="169.57142857142858"/>
    <n v="151.5"/>
    <n v="74.071428571428569"/>
    <n v="73.538461538461533"/>
    <n v="92.84615384615384"/>
    <n v="104"/>
    <n v="134.6"/>
    <n v="69.142857142857139"/>
    <n v="85.15384615384616"/>
    <n v="256.61538461538464"/>
    <n v="181.83333333333334"/>
    <n v="219.15384615384616"/>
    <n v="192.46153846153845"/>
    <x v="34"/>
    <e v="#DIV/0!"/>
    <e v="#DIV/0!"/>
    <e v="#DIV/0!"/>
    <e v="#DIV/0!"/>
    <e v="#DIV/0!"/>
    <e v="#DIV/0!"/>
    <e v="#DIV/0!"/>
    <e v="#DIV/0!"/>
    <e v="#DIV/0!"/>
    <e v="#DIV/0!"/>
    <e v="#DIV/0!"/>
    <e v="#DIV/0!"/>
    <n v="5"/>
    <n v="8"/>
    <n v="0"/>
    <n v="0"/>
    <n v="2"/>
    <n v="14"/>
    <n v="25371"/>
  </r>
  <r>
    <x v="2"/>
    <s v="PARNAMIRIM"/>
    <n v="225.33333333333334"/>
    <n v="197.15384615384616"/>
    <n v="143.5"/>
    <n v="85.333333333333329"/>
    <n v="266.25"/>
    <n v="111.30769230769231"/>
    <n v="117.92857142857143"/>
    <n v="76.230769230769226"/>
    <n v="101.38461538461539"/>
    <n v="107.26666666666667"/>
    <n v="120.57142857142857"/>
    <n v="152.58333333333334"/>
    <n v="191.41666666666666"/>
    <x v="35"/>
    <e v="#DIV/0!"/>
    <e v="#DIV/0!"/>
    <e v="#DIV/0!"/>
    <e v="#DIV/0!"/>
    <e v="#DIV/0!"/>
    <e v="#DIV/0!"/>
    <e v="#DIV/0!"/>
    <e v="#DIV/0!"/>
    <e v="#DIV/0!"/>
    <e v="#DIV/0!"/>
    <e v="#DIV/0!"/>
    <e v="#DIV/0!"/>
    <n v="21"/>
    <n v="23"/>
    <n v="0"/>
    <n v="0"/>
    <n v="12"/>
    <n v="16"/>
    <n v="25228"/>
  </r>
  <r>
    <x v="2"/>
    <s v="SANTANA"/>
    <n v="237"/>
    <n v="228.88888888888889"/>
    <n v="154.88888888888889"/>
    <n v="289.55555555555554"/>
    <n v="303"/>
    <n v="368.22222222222223"/>
    <n v="248.66666666666666"/>
    <n v="247.66666666666666"/>
    <n v="309.55555555555554"/>
    <n v="232.55555555555554"/>
    <n v="136.66666666666666"/>
    <n v="145"/>
    <n v="221.77777777777777"/>
    <x v="36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1"/>
    <n v="0"/>
    <n v="0"/>
    <n v="0"/>
    <n v="9"/>
    <n v="30227"/>
  </r>
  <r>
    <x v="2"/>
    <s v="POÇO"/>
    <n v="319.44444444444446"/>
    <n v="207"/>
    <n v="119"/>
    <n v="188"/>
    <n v="217.27777777777777"/>
    <n v="225.94444444444446"/>
    <n v="109.76470588235294"/>
    <n v="165.44444444444446"/>
    <n v="119.29411764705883"/>
    <n v="137.76470588235293"/>
    <n v="190.38888888888889"/>
    <n v="185.83333333333334"/>
    <n v="218.41176470588235"/>
    <x v="37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1"/>
    <n v="0"/>
    <n v="0"/>
    <n v="1"/>
    <n v="18"/>
    <n v="45011"/>
  </r>
  <r>
    <x v="2"/>
    <s v="SITIO DOS PINTOS"/>
    <n v="120.76923076923077"/>
    <n v="117.44"/>
    <n v="94.44"/>
    <n v="149.07692307692307"/>
    <n v="105.96153846153847"/>
    <n v="110.69230769230769"/>
    <n v="151.57692307692307"/>
    <n v="124.26923076923077"/>
    <n v="132.46153846153845"/>
    <n v="91.961538461538467"/>
    <n v="78.038461538461533"/>
    <n v="83.8"/>
    <n v="119.96153846153847"/>
    <x v="38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1"/>
    <n v="0"/>
    <n v="0"/>
    <n v="1"/>
    <n v="26"/>
    <n v="40754"/>
  </r>
  <r>
    <x v="2"/>
    <s v="TAMARINEIRA"/>
    <n v="194.22727272727272"/>
    <n v="183.23809523809524"/>
    <n v="111.16666666666667"/>
    <n v="116.7"/>
    <n v="105.40909090909091"/>
    <n v="156.58333333333334"/>
    <n v="104.54166666666667"/>
    <n v="127.83333333333333"/>
    <n v="106.95"/>
    <n v="163.39130434782609"/>
    <n v="141.78260869565219"/>
    <n v="83.714285714285708"/>
    <n v="178.8"/>
    <x v="39"/>
    <e v="#DIV/0!"/>
    <e v="#DIV/0!"/>
    <e v="#DIV/0!"/>
    <e v="#DIV/0!"/>
    <e v="#DIV/0!"/>
    <e v="#DIV/0!"/>
    <e v="#DIV/0!"/>
    <e v="#DIV/0!"/>
    <e v="#DIV/0!"/>
    <e v="#DIV/0!"/>
    <e v="#DIV/0!"/>
    <e v="#DIV/0!"/>
    <n v="9"/>
    <n v="29"/>
    <n v="0"/>
    <n v="0"/>
    <n v="24"/>
    <n v="25"/>
    <n v="43071"/>
  </r>
  <r>
    <x v="2"/>
    <s v="AFLITOS"/>
    <n v="255.125"/>
    <n v="121.375"/>
    <n v="138.85714285714286"/>
    <n v="136"/>
    <n v="114.625"/>
    <n v="183.33333333333334"/>
    <n v="149.625"/>
    <n v="347.125"/>
    <n v="423.625"/>
    <n v="206"/>
    <n v="103.75"/>
    <n v="104.42857142857143"/>
    <n v="154.80000000000001"/>
    <x v="40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4"/>
    <n v="0"/>
    <n v="0"/>
    <n v="4"/>
    <n v="8"/>
    <n v="20029"/>
  </r>
  <r>
    <x v="2"/>
    <s v="ESPINHEIRO"/>
    <n v="286.41176470588238"/>
    <n v="225.8235294117647"/>
    <n v="186.1764705882353"/>
    <n v="233.76470588235293"/>
    <n v="269.9375"/>
    <n v="239.35294117647058"/>
    <n v="326.94117647058823"/>
    <n v="164.64705882352942"/>
    <n v="255.35294117647058"/>
    <n v="180.375"/>
    <n v="273.64705882352939"/>
    <n v="112.82352941176471"/>
    <n v="286.39999999999998"/>
    <x v="41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3"/>
    <n v="0"/>
    <n v="0"/>
    <n v="1"/>
    <n v="16"/>
    <n v="57875"/>
  </r>
  <r>
    <x v="2"/>
    <s v="JAQUEIRA"/>
    <n v="725.8"/>
    <n v="527"/>
    <n v="431"/>
    <n v="585.4"/>
    <n v="637.20000000000005"/>
    <n v="550.79999999999995"/>
    <n v="455.8"/>
    <n v="164.4"/>
    <n v="149.4"/>
    <n v="168.2"/>
    <n v="231"/>
    <n v="1.5"/>
    <n v="145"/>
    <x v="42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4"/>
    <n v="0"/>
    <n v="0"/>
    <n v="2"/>
    <n v="5"/>
    <n v="24243"/>
  </r>
  <r>
    <x v="2"/>
    <s v="DERBY"/>
    <n v="406.2"/>
    <n v="155"/>
    <n v="287.55555555555554"/>
    <n v="341.66666666666669"/>
    <n v="539.11111111111109"/>
    <n v="380.9"/>
    <n v="266.60000000000002"/>
    <n v="575.79999999999995"/>
    <n v="291.5"/>
    <n v="332.6"/>
    <n v="134.5"/>
    <n v="171.5"/>
    <n v="295.10000000000002"/>
    <x v="43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1"/>
    <n v="0"/>
    <n v="0"/>
    <n v="0"/>
    <n v="10"/>
    <n v="42208"/>
  </r>
  <r>
    <x v="2"/>
    <s v="GRAÇAS"/>
    <n v="223.53571428571428"/>
    <n v="120.62962962962963"/>
    <n v="137.1"/>
    <n v="166.4814814814815"/>
    <n v="256.92857142857144"/>
    <n v="219.91176470588235"/>
    <n v="139.72727272727272"/>
    <n v="105.23333333333333"/>
    <n v="253.61290322580646"/>
    <n v="99.2"/>
    <n v="159.54545454545453"/>
    <n v="87.516129032258064"/>
    <n v="177.71875"/>
    <x v="44"/>
    <e v="#DIV/0!"/>
    <e v="#DIV/0!"/>
    <e v="#DIV/0!"/>
    <e v="#DIV/0!"/>
    <e v="#DIV/0!"/>
    <e v="#DIV/0!"/>
    <e v="#DIV/0!"/>
    <e v="#DIV/0!"/>
    <e v="#DIV/0!"/>
    <e v="#DIV/0!"/>
    <e v="#DIV/0!"/>
    <e v="#DIV/0!"/>
    <n v="19"/>
    <n v="21"/>
    <n v="0"/>
    <n v="0"/>
    <n v="15"/>
    <n v="34"/>
    <n v="68452"/>
  </r>
  <r>
    <x v="3"/>
    <s v="VÁRZEA CDU"/>
    <n v="272.41025641025641"/>
    <n v="219.81578947368422"/>
    <n v="185.39473684210526"/>
    <n v="257.67567567567568"/>
    <n v="183"/>
    <n v="151.61538461538461"/>
    <n v="204.13157894736841"/>
    <n v="151.68421052631578"/>
    <n v="159.34210526315789"/>
    <n v="142.47058823529412"/>
    <n v="157.19999999999999"/>
    <n v="139.55000000000001"/>
    <n v="172.56410256410257"/>
    <x v="45"/>
    <e v="#DIV/0!"/>
    <e v="#DIV/0!"/>
    <e v="#DIV/0!"/>
    <e v="#DIV/0!"/>
    <e v="#DIV/0!"/>
    <e v="#DIV/0!"/>
    <e v="#DIV/0!"/>
    <e v="#DIV/0!"/>
    <e v="#DIV/0!"/>
    <e v="#DIV/0!"/>
    <e v="#DIV/0!"/>
    <e v="#DIV/0!"/>
    <n v="5"/>
    <n v="13"/>
    <n v="1"/>
    <n v="0"/>
    <n v="6"/>
    <n v="40"/>
    <n v="97072"/>
  </r>
  <r>
    <x v="3"/>
    <s v="VÁRZEA BRASILIT"/>
    <n v="137.88888888888889"/>
    <n v="195.79310344827587"/>
    <n v="186.84615384615384"/>
    <n v="199.51724137931035"/>
    <n v="174.83333333333334"/>
    <n v="190.96774193548387"/>
    <n v="151.93333333333334"/>
    <n v="163.41379310344828"/>
    <n v="170.14285714285714"/>
    <n v="132.59375"/>
    <n v="220.51612903225808"/>
    <n v="95.57692307692308"/>
    <n v="222.62068965517241"/>
    <x v="46"/>
    <e v="#DIV/0!"/>
    <e v="#DIV/0!"/>
    <e v="#DIV/0!"/>
    <e v="#DIV/0!"/>
    <e v="#DIV/0!"/>
    <e v="#DIV/0!"/>
    <e v="#DIV/0!"/>
    <e v="#DIV/0!"/>
    <e v="#DIV/0!"/>
    <e v="#DIV/0!"/>
    <e v="#DIV/0!"/>
    <e v="#DIV/0!"/>
    <n v="12"/>
    <n v="25"/>
    <n v="2"/>
    <n v="0"/>
    <n v="16"/>
    <n v="32"/>
    <n v="70168"/>
  </r>
  <r>
    <x v="3"/>
    <s v="VÁRZEA BAIXO"/>
    <n v="228.86486486486487"/>
    <n v="182.69444444444446"/>
    <n v="136.86111111111111"/>
    <n v="345.19444444444446"/>
    <n v="262.08571428571429"/>
    <n v="180.94117647058823"/>
    <n v="180.88571428571427"/>
    <n v="140.30555555555554"/>
    <n v="161.27272727272728"/>
    <n v="208.1875"/>
    <n v="169.91666666666666"/>
    <n v="143.72222222222223"/>
    <n v="292.74285714285713"/>
    <x v="47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17"/>
    <n v="0"/>
    <n v="0"/>
    <n v="7"/>
    <n v="37"/>
    <n v="102468"/>
  </r>
  <r>
    <x v="3"/>
    <s v="VÁRZEA BARREIRAS"/>
    <n v="168.89655172413794"/>
    <n v="198.1"/>
    <n v="132.67741935483872"/>
    <n v="228.0625"/>
    <n v="125.8"/>
    <n v="138.89655172413794"/>
    <n v="206.35714285714286"/>
    <n v="153.86206896551724"/>
    <n v="198.14285714285714"/>
    <n v="189.44827586206895"/>
    <n v="173.06896551724137"/>
    <n v="133.5"/>
    <n v="189.03846153846155"/>
    <x v="48"/>
    <e v="#DIV/0!"/>
    <e v="#DIV/0!"/>
    <e v="#DIV/0!"/>
    <e v="#DIV/0!"/>
    <e v="#DIV/0!"/>
    <e v="#DIV/0!"/>
    <e v="#DIV/0!"/>
    <e v="#DIV/0!"/>
    <e v="#DIV/0!"/>
    <e v="#DIV/0!"/>
    <e v="#DIV/0!"/>
    <e v="#DIV/0!"/>
    <n v="51"/>
    <n v="32"/>
    <n v="0"/>
    <n v="0"/>
    <n v="18"/>
    <n v="35"/>
    <n v="69510"/>
  </r>
  <r>
    <x v="3"/>
    <s v="VÁRZEA UR-7"/>
    <n v="211.47761194029852"/>
    <n v="142.55223880597015"/>
    <n v="166.55384615384617"/>
    <n v="316.55555555555554"/>
    <n v="192.22388059701493"/>
    <n v="224.2"/>
    <n v="197.53030303030303"/>
    <n v="144.24242424242425"/>
    <n v="167.11940298507463"/>
    <n v="201.18965517241378"/>
    <n v="177.7258064516129"/>
    <n v="85.344262295081961"/>
    <n v="219.42622950819671"/>
    <x v="49"/>
    <e v="#DIV/0!"/>
    <e v="#DIV/0!"/>
    <e v="#DIV/0!"/>
    <e v="#DIV/0!"/>
    <e v="#DIV/0!"/>
    <e v="#DIV/0!"/>
    <e v="#DIV/0!"/>
    <e v="#DIV/0!"/>
    <e v="#DIV/0!"/>
    <e v="#DIV/0!"/>
    <e v="#DIV/0!"/>
    <e v="#DIV/0!"/>
    <n v="79"/>
    <n v="74"/>
    <n v="0"/>
    <n v="0"/>
    <n v="60"/>
    <n v="76"/>
    <n v="166730"/>
  </r>
  <r>
    <x v="3"/>
    <s v="ILHA DO RETIRO"/>
    <n v="208.875"/>
    <n v="194.53333333333333"/>
    <n v="256.64285714285717"/>
    <n v="257.60000000000002"/>
    <n v="120.6"/>
    <n v="276.25"/>
    <n v="172.3125"/>
    <n v="109.5"/>
    <n v="163.46666666666667"/>
    <n v="159.125"/>
    <n v="120.9375"/>
    <n v="107.46666666666667"/>
    <n v="188.78571428571428"/>
    <x v="50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4"/>
    <n v="0"/>
    <n v="0"/>
    <n v="0"/>
    <n v="16"/>
    <n v="37425"/>
  </r>
  <r>
    <x v="3"/>
    <s v="ZUMBI"/>
    <n v="180.15384615384616"/>
    <n v="135.41666666666666"/>
    <n v="135.18181818181819"/>
    <n v="192.58333333333334"/>
    <n v="74.727272727272734"/>
    <n v="148.66666666666666"/>
    <n v="138.75"/>
    <n v="177.91666666666666"/>
    <n v="147.81818181818181"/>
    <n v="175.41666666666666"/>
    <n v="123.18181818181819"/>
    <n v="134.46153846153845"/>
    <n v="241.36363636363637"/>
    <x v="51"/>
    <e v="#DIV/0!"/>
    <e v="#DIV/0!"/>
    <e v="#DIV/0!"/>
    <e v="#DIV/0!"/>
    <e v="#DIV/0!"/>
    <e v="#DIV/0!"/>
    <e v="#DIV/0!"/>
    <e v="#DIV/0!"/>
    <e v="#DIV/0!"/>
    <e v="#DIV/0!"/>
    <e v="#DIV/0!"/>
    <e v="#DIV/0!"/>
    <n v="7"/>
    <n v="9"/>
    <n v="0"/>
    <n v="0"/>
    <n v="8"/>
    <n v="13"/>
    <n v="26326"/>
  </r>
  <r>
    <x v="3"/>
    <s v="ENGENHO DO MEIO"/>
    <n v="192.57142857142858"/>
    <n v="305.40909090909093"/>
    <n v="688.52173913043475"/>
    <n v="309.23529411764707"/>
    <n v="314.04761904761904"/>
    <n v="286.36363636363637"/>
    <n v="429.6521739130435"/>
    <n v="449.68181818181819"/>
    <n v="392.4736842105263"/>
    <n v="264.22727272727275"/>
    <n v="385.13636363636363"/>
    <n v="218.54545454545453"/>
    <n v="387.8095238095238"/>
    <x v="52"/>
    <e v="#DIV/0!"/>
    <e v="#DIV/0!"/>
    <e v="#DIV/0!"/>
    <e v="#DIV/0!"/>
    <e v="#DIV/0!"/>
    <e v="#DIV/0!"/>
    <e v="#DIV/0!"/>
    <e v="#DIV/0!"/>
    <e v="#DIV/0!"/>
    <e v="#DIV/0!"/>
    <e v="#DIV/0!"/>
    <e v="#DIV/0!"/>
    <n v="9"/>
    <n v="27"/>
    <n v="1"/>
    <n v="0"/>
    <n v="23"/>
    <n v="24"/>
    <n v="103497"/>
  </r>
  <r>
    <x v="4"/>
    <s v="Mangueira"/>
    <n v="207.9"/>
    <n v="137.33333333333334"/>
    <n v="123.18181818181819"/>
    <n v="166.08333333333334"/>
    <n v="113.76923076923077"/>
    <n v="160.58333333333334"/>
    <n v="127.5"/>
    <n v="146.53846153846155"/>
    <n v="145.81818181818181"/>
    <n v="139.18181818181819"/>
    <n v="108.25"/>
    <n v="167.64285714285714"/>
    <n v="391.83333333333331"/>
    <x v="53"/>
    <e v="#DIV/0!"/>
    <e v="#DIV/0!"/>
    <e v="#DIV/0!"/>
    <e v="#DIV/0!"/>
    <e v="#DIV/0!"/>
    <e v="#DIV/0!"/>
    <e v="#DIV/0!"/>
    <e v="#DIV/0!"/>
    <e v="#DIV/0!"/>
    <e v="#DIV/0!"/>
    <e v="#DIV/0!"/>
    <e v="#DIV/0!"/>
    <n v="25"/>
    <n v="18"/>
    <n v="0"/>
    <n v="0"/>
    <n v="15"/>
    <n v="15"/>
    <n v="28179"/>
  </r>
  <r>
    <x v="4"/>
    <s v="Jardim São Paulo I"/>
    <n v="255"/>
    <n v="235.16"/>
    <n v="245.53333333333333"/>
    <n v="237.76190476190476"/>
    <n v="180.8"/>
    <n v="159.21739130434781"/>
    <n v="215"/>
    <n v="188.65384615384616"/>
    <n v="141.37931034482759"/>
    <n v="216.19230769230768"/>
    <n v="269.96153846153845"/>
    <n v="198.92592592592592"/>
    <n v="276.90476190476193"/>
    <x v="54"/>
    <e v="#DIV/0!"/>
    <e v="#DIV/0!"/>
    <e v="#DIV/0!"/>
    <e v="#DIV/0!"/>
    <e v="#DIV/0!"/>
    <e v="#DIV/0!"/>
    <e v="#DIV/0!"/>
    <e v="#DIV/0!"/>
    <e v="#DIV/0!"/>
    <e v="#DIV/0!"/>
    <e v="#DIV/0!"/>
    <e v="#DIV/0!"/>
    <n v="47"/>
    <n v="45"/>
    <n v="0"/>
    <n v="0"/>
    <n v="33"/>
    <n v="32"/>
    <n v="77527"/>
  </r>
  <r>
    <x v="4"/>
    <s v="Jardim São Paulo II"/>
    <n v="227.18181818181819"/>
    <n v="122.61764705882354"/>
    <n v="164.08823529411765"/>
    <n v="352.20588235294116"/>
    <n v="242.27272727272728"/>
    <n v="205.90909090909091"/>
    <n v="190.30303030303031"/>
    <n v="199.33333333333334"/>
    <n v="194.79411764705881"/>
    <n v="156.33333333333334"/>
    <n v="257.44117647058823"/>
    <n v="157.28125"/>
    <n v="397.96875"/>
    <x v="55"/>
    <e v="#DIV/0!"/>
    <e v="#DIV/0!"/>
    <e v="#DIV/0!"/>
    <e v="#DIV/0!"/>
    <e v="#DIV/0!"/>
    <e v="#DIV/0!"/>
    <e v="#DIV/0!"/>
    <e v="#DIV/0!"/>
    <e v="#DIV/0!"/>
    <e v="#DIV/0!"/>
    <e v="#DIV/0!"/>
    <e v="#DIV/0!"/>
    <n v="4"/>
    <n v="5"/>
    <n v="0"/>
    <n v="0"/>
    <n v="1"/>
    <n v="34"/>
    <n v="105570"/>
  </r>
  <r>
    <x v="4"/>
    <s v="Afogados I"/>
    <n v="182.58823529411765"/>
    <n v="236.71428571428572"/>
    <n v="121.29411764705883"/>
    <n v="191.61111111111111"/>
    <n v="278.60000000000002"/>
    <n v="334.86666666666667"/>
    <n v="208.2"/>
    <n v="245.5"/>
    <n v="269.93333333333334"/>
    <n v="193.5"/>
    <n v="235"/>
    <n v="193.64705882352942"/>
    <n v="470.70588235294116"/>
    <x v="56"/>
    <e v="#DIV/0!"/>
    <e v="#DIV/0!"/>
    <e v="#DIV/0!"/>
    <e v="#DIV/0!"/>
    <e v="#DIV/0!"/>
    <e v="#DIV/0!"/>
    <e v="#DIV/0!"/>
    <e v="#DIV/0!"/>
    <e v="#DIV/0!"/>
    <e v="#DIV/0!"/>
    <e v="#DIV/0!"/>
    <e v="#DIV/0!"/>
    <n v="9"/>
    <n v="18"/>
    <n v="2"/>
    <n v="0"/>
    <n v="19"/>
    <n v="18"/>
    <n v="56852"/>
  </r>
  <r>
    <x v="4"/>
    <s v="Afogados II"/>
    <n v="221.80769230769232"/>
    <n v="156.46153846153845"/>
    <n v="91.035714285714292"/>
    <n v="196.56"/>
    <n v="242.66666666666666"/>
    <n v="202.41666666666666"/>
    <n v="176.33333333333334"/>
    <n v="216.92857142857142"/>
    <n v="148.39130434782609"/>
    <n v="123.8"/>
    <n v="225.22222222222223"/>
    <n v="212.16"/>
    <n v="199.7391304347826"/>
    <x v="57"/>
    <e v="#DIV/0!"/>
    <e v="#DIV/0!"/>
    <e v="#DIV/0!"/>
    <e v="#DIV/0!"/>
    <e v="#DIV/0!"/>
    <e v="#DIV/0!"/>
    <e v="#DIV/0!"/>
    <e v="#DIV/0!"/>
    <e v="#DIV/0!"/>
    <e v="#DIV/0!"/>
    <e v="#DIV/0!"/>
    <e v="#DIV/0!"/>
    <n v="26"/>
    <n v="28"/>
    <n v="0"/>
    <n v="0"/>
    <n v="23"/>
    <n v="29"/>
    <n v="65707"/>
  </r>
  <r>
    <x v="4"/>
    <s v="Afogados III"/>
    <n v="216.39285714285714"/>
    <n v="106.87096774193549"/>
    <n v="116.12903225806451"/>
    <n v="261.74193548387098"/>
    <n v="129.80645161290323"/>
    <n v="135.61290322580646"/>
    <n v="177.35483870967741"/>
    <n v="154.4375"/>
    <n v="223.46428571428572"/>
    <n v="173.45454545454547"/>
    <n v="232.94117647058823"/>
    <n v="141.6"/>
    <n v="287.75862068965517"/>
    <x v="58"/>
    <e v="#DIV/0!"/>
    <e v="#DIV/0!"/>
    <e v="#DIV/0!"/>
    <e v="#DIV/0!"/>
    <e v="#DIV/0!"/>
    <e v="#DIV/0!"/>
    <e v="#DIV/0!"/>
    <e v="#DIV/0!"/>
    <e v="#DIV/0!"/>
    <e v="#DIV/0!"/>
    <e v="#DIV/0!"/>
    <e v="#DIV/0!"/>
    <n v="53"/>
    <n v="27"/>
    <n v="0"/>
    <n v="0"/>
    <n v="18"/>
    <n v="37"/>
    <n v="78533"/>
  </r>
  <r>
    <x v="4"/>
    <s v="Barro II"/>
    <n v="191.11111111111111"/>
    <n v="110.23809523809524"/>
    <n v="98.19047619047619"/>
    <n v="249"/>
    <n v="71.590909090909093"/>
    <n v="214.4"/>
    <n v="121.04545454545455"/>
    <n v="102.95454545454545"/>
    <n v="110.52380952380952"/>
    <n v="112"/>
    <n v="182"/>
    <n v="121.68181818181819"/>
    <n v="238.81818181818181"/>
    <x v="59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1"/>
    <n v="0"/>
    <n v="0"/>
    <n v="1"/>
    <n v="22"/>
    <n v="44555"/>
  </r>
  <r>
    <x v="5"/>
    <s v="Pina"/>
    <n v="210.72916666666666"/>
    <n v="226.15217391304347"/>
    <n v="189.17391304347825"/>
    <n v="244.2340425531915"/>
    <n v="219.10638297872342"/>
    <n v="206.375"/>
    <n v="316.468085106383"/>
    <n v="316.33333333333331"/>
    <n v="180.33333333333334"/>
    <n v="315.5"/>
    <n v="226.46808510638297"/>
    <n v="232"/>
    <n v="304.73913043478262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4"/>
    <n v="7"/>
    <n v="0"/>
    <n v="0"/>
    <n v="7"/>
    <n v="48"/>
    <n v="150327"/>
  </r>
  <r>
    <x v="5"/>
    <s v="Brasília"/>
    <n v="254.47058823529412"/>
    <n v="232.38235294117646"/>
    <n v="159.14705882352942"/>
    <n v="304.28571428571428"/>
    <n v="369.77142857142854"/>
    <n v="209.03225806451613"/>
    <n v="276.125"/>
    <n v="279.4848484848485"/>
    <n v="177.08571428571429"/>
    <n v="269.39999999999998"/>
    <n v="343.77142857142854"/>
    <n v="223.41379310344828"/>
    <n v="315.62068965517244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12"/>
    <n v="23"/>
    <n v="0"/>
    <n v="0"/>
    <n v="19"/>
    <n v="36"/>
    <n v="112039"/>
  </r>
  <r>
    <x v="5"/>
    <s v="Ipsep"/>
    <n v="248.10256410256412"/>
    <n v="305.69767441860466"/>
    <n v="194.09756097560975"/>
    <n v="372.95"/>
    <n v="305.14285714285717"/>
    <n v="321.17500000000001"/>
    <n v="344.19512195121951"/>
    <n v="216.58536585365854"/>
    <n v="149.09756097560975"/>
    <n v="248.10526315789474"/>
    <n v="336.85"/>
    <n v="295.2439024390244"/>
    <n v="572.87179487179492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7"/>
    <n v="23"/>
    <n v="0"/>
    <n v="0"/>
    <n v="13"/>
    <n v="43"/>
    <n v="157814"/>
  </r>
  <r>
    <x v="5"/>
    <s v="Imbiribeira"/>
    <n v="189.40495867768595"/>
    <n v="180.75"/>
    <n v="136.95689655172413"/>
    <n v="175.09836065573771"/>
    <n v="192.03278688524591"/>
    <n v="164.04310344827587"/>
    <n v="195.15833333333333"/>
    <n v="193.6"/>
    <n v="174.92500000000001"/>
    <n v="194.80799999999999"/>
    <n v="184.71304347826086"/>
    <n v="168.2905982905983"/>
    <n v="227.09565217391304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76"/>
    <n v="111"/>
    <n v="1"/>
    <n v="0"/>
    <n v="74"/>
    <n v="136"/>
    <n v="285769"/>
  </r>
  <r>
    <x v="5"/>
    <s v="Boa Viagem"/>
    <n v="234.50993377483445"/>
    <n v="292.45394736842104"/>
    <n v="190.24358974358975"/>
    <n v="246.70779220779221"/>
    <n v="184.40127388535032"/>
    <n v="148.89032258064515"/>
    <n v="193.14012738853503"/>
    <n v="163.29192546583852"/>
    <n v="189.26875000000001"/>
    <n v="188.40506329113924"/>
    <n v="163.11612903225807"/>
    <n v="154.39102564102564"/>
    <n v="212.00649350649351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14"/>
    <n v="35"/>
    <n v="0"/>
    <n v="0"/>
    <n v="18"/>
    <n v="162"/>
    <n v="398245"/>
  </r>
  <r>
    <x v="6"/>
    <s v="Nova Descoberta"/>
    <n v="191.875"/>
    <n v="265.68965517241378"/>
    <n v="179.57627118644066"/>
    <n v="245.50877192982455"/>
    <n v="187.68333333333334"/>
    <n v="262.03389830508473"/>
    <n v="243.98275862068965"/>
    <n v="143.98245614035088"/>
    <n v="202.96428571428572"/>
    <n v="193.42105263157896"/>
    <n v="258.45"/>
    <n v="205.31578947368422"/>
    <n v="246.93103448275863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9"/>
    <n v="11"/>
    <n v="0"/>
    <n v="0"/>
    <n v="12"/>
    <n v="60"/>
    <n v="163746"/>
  </r>
  <r>
    <x v="6"/>
    <s v="Alto José Bonifácio"/>
    <n v="162.66666666666666"/>
    <n v="199.52380952380952"/>
    <n v="283.23809523809524"/>
    <n v="326.1904761904762"/>
    <n v="295.28571428571428"/>
    <n v="282.85000000000002"/>
    <n v="162.4"/>
    <n v="164.15789473684211"/>
    <n v="148.04761904761904"/>
    <n v="173.95"/>
    <n v="101.14285714285714"/>
    <n v="111.19047619047619"/>
    <n v="166.73684210526315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3"/>
    <n v="7"/>
    <n v="0"/>
    <n v="0"/>
    <n v="7"/>
    <n v="21"/>
    <n v="52356"/>
  </r>
  <r>
    <x v="6"/>
    <s v="Mangabeira"/>
    <n v="102.09090909090909"/>
    <n v="161.63636363636363"/>
    <n v="98.818181818181813"/>
    <n v="140.77777777777777"/>
    <n v="88.454545454545453"/>
    <n v="179.18181818181819"/>
    <n v="137.27272727272728"/>
    <n v="116.90909090909091"/>
    <n v="153.27272727272728"/>
    <n v="174"/>
    <n v="101.27272727272727"/>
    <n v="127.45454545454545"/>
    <n v="399.18181818181819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1"/>
    <n v="0"/>
    <n v="0"/>
    <n v="0"/>
    <n v="11"/>
    <n v="21502"/>
  </r>
  <r>
    <x v="6"/>
    <s v="Alto José do Pinho"/>
    <n v="152.8235294117647"/>
    <n v="177.61111111111111"/>
    <n v="58.333333333333336"/>
    <n v="155.47058823529412"/>
    <n v="234.35294117647058"/>
    <n v="148"/>
    <n v="135.41176470588235"/>
    <n v="109.5"/>
    <n v="98.9375"/>
    <n v="128.27777777777777"/>
    <n v="172"/>
    <n v="195.58823529411765"/>
    <n v="211.11111111111111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1"/>
    <n v="0"/>
    <n v="0"/>
    <n v="1"/>
    <n v="18"/>
    <n v="34202"/>
  </r>
  <r>
    <x v="6"/>
    <s v="Morro da Conceição"/>
    <n v="109.92857142857143"/>
    <n v="150.75"/>
    <n v="86.1875"/>
    <n v="135.6"/>
    <n v="152.33333333333334"/>
    <n v="146.375"/>
    <n v="147.625"/>
    <n v="163.46666666666667"/>
    <n v="152.9375"/>
    <n v="158.86666666666667"/>
    <n v="120.375"/>
    <n v="155.06666666666666"/>
    <n v="243.13333333333333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3"/>
    <n v="5"/>
    <n v="0"/>
    <n v="0"/>
    <n v="6"/>
    <n v="16"/>
    <n v="29534"/>
  </r>
  <r>
    <x v="6"/>
    <s v="Vasco da Gama"/>
    <n v="269.48936170212767"/>
    <n v="240.86"/>
    <n v="182.73333333333332"/>
    <n v="244.33333333333334"/>
    <n v="169.86538461538461"/>
    <n v="204.08163265306123"/>
    <n v="215.97674418604652"/>
    <n v="250.20833333333334"/>
    <n v="236.63265306122449"/>
    <n v="319.24489795918367"/>
    <n v="207.46153846153845"/>
    <n v="188.9"/>
    <n v="256.73913043478262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28"/>
    <n v="23"/>
    <n v="0"/>
    <n v="0"/>
    <n v="24"/>
    <n v="53"/>
    <n v="144071"/>
  </r>
  <r>
    <x v="6"/>
    <s v="Macaxeira"/>
    <n v="181.77777777777777"/>
    <n v="398.65384615384613"/>
    <n v="186.7037037037037"/>
    <n v="163.79310344827587"/>
    <n v="207.04"/>
    <n v="216.32142857142858"/>
    <n v="237.59259259259258"/>
    <n v="137.5"/>
    <n v="293.51724137931035"/>
    <n v="313.13793103448273"/>
    <n v="309.71428571428572"/>
    <n v="182.6"/>
    <n v="456.42105263157896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13"/>
    <n v="14"/>
    <n v="0"/>
    <n v="0"/>
    <n v="15"/>
    <n v="29"/>
    <n v="86064"/>
  </r>
  <r>
    <x v="6"/>
    <s v="Brejo da Guabiraba"/>
    <n v="138.70588235294119"/>
    <n v="333.78571428571428"/>
    <n v="131.36842105263159"/>
    <n v="349.2"/>
    <n v="241.05263157894737"/>
    <n v="284.5"/>
    <n v="182.15"/>
    <n v="163"/>
    <n v="128.25"/>
    <n v="165.26315789473685"/>
    <n v="128.1764705882353"/>
    <n v="139.05555555555554"/>
    <n v="267.22222222222223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12"/>
    <n v="14"/>
    <n v="0"/>
    <n v="0"/>
    <n v="14"/>
    <n v="20"/>
    <n v="47473"/>
  </r>
  <r>
    <x v="6"/>
    <s v="Córrego da Jenipapo"/>
    <n v="75.8"/>
    <n v="98.5"/>
    <n v="60.083333333333336"/>
    <n v="119"/>
    <n v="49.666666666666664"/>
    <n v="68.36363636363636"/>
    <n v="68.470588235294116"/>
    <n v="76"/>
    <n v="84.357142857142861"/>
    <n v="154.66666666666666"/>
    <n v="106.4"/>
    <n v="75.833333333333329"/>
    <n v="114.73333333333333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11"/>
    <n v="15"/>
    <n v="0"/>
    <n v="0"/>
    <n v="12"/>
    <n v="17"/>
    <n v="15814"/>
  </r>
  <r>
    <x v="6"/>
    <s v="Brejo do Beberibe"/>
    <n v="118.27777777777777"/>
    <n v="182.84210526315789"/>
    <n v="253.22222222222223"/>
    <n v="247.36842105263159"/>
    <n v="275.84210526315792"/>
    <n v="195.55555555555554"/>
    <n v="99.21052631578948"/>
    <n v="105.11111111111111"/>
    <n v="116.33333333333333"/>
    <n v="138.94444444444446"/>
    <n v="137.57894736842104"/>
    <n v="153.61111111111111"/>
    <n v="115.61111111111111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2"/>
    <n v="5"/>
    <n v="0"/>
    <n v="0"/>
    <n v="3"/>
    <n v="19"/>
    <n v="39454"/>
  </r>
  <r>
    <x v="6"/>
    <s v="Passarinho"/>
    <n v="166.54716981132074"/>
    <n v="239.03571428571428"/>
    <n v="207.63461538461539"/>
    <n v="278.07272727272726"/>
    <n v="286.67272727272729"/>
    <n v="353.37735849056605"/>
    <n v="175.26415094339623"/>
    <n v="185.08"/>
    <n v="225.46"/>
    <n v="279.16000000000003"/>
    <n v="192.9814814814815"/>
    <n v="181.80769230769232"/>
    <n v="344.8679245283019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11"/>
    <n v="30"/>
    <n v="0"/>
    <n v="0"/>
    <n v="26"/>
    <n v="56"/>
    <n v="164727"/>
  </r>
  <r>
    <x v="7"/>
    <s v="Ibura I"/>
    <n v="214.15217391304347"/>
    <n v="261.62745098039215"/>
    <n v="152.31372549019608"/>
    <n v="220.66666666666666"/>
    <n v="195.61538461538461"/>
    <n v="162.68627450980392"/>
    <n v="124.07843137254902"/>
    <n v="186.09615384615384"/>
    <n v="215.88235294117646"/>
    <n v="222.44897959183675"/>
    <n v="181.94"/>
    <n v="123.70212765957447"/>
    <n v="271.60377358490564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28"/>
    <n v="21"/>
    <n v="0"/>
    <n v="0"/>
    <n v="17"/>
    <n v="55"/>
    <n v="127244"/>
  </r>
  <r>
    <x v="7"/>
    <s v="Ibura II"/>
    <n v="193.19444444444446"/>
    <n v="261.59459459459458"/>
    <n v="240"/>
    <n v="260.7837837837838"/>
    <n v="143.16666666666666"/>
    <n v="178.77777777777777"/>
    <n v="147.21621621621622"/>
    <n v="148.5"/>
    <n v="215.76470588235293"/>
    <n v="182.94594594594594"/>
    <n v="278.44444444444446"/>
    <n v="125.46875"/>
    <n v="243.87878787878788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2"/>
    <n v="7"/>
    <n v="0"/>
    <n v="0"/>
    <n v="12"/>
    <n v="37"/>
    <n v="93258"/>
  </r>
  <r>
    <x v="7"/>
    <s v="Ibura III"/>
    <n v="142.4"/>
    <n v="438.27586206896552"/>
    <n v="209.27586206896552"/>
    <n v="232.85714285714286"/>
    <n v="142.44827586206895"/>
    <n v="377.55172413793105"/>
    <n v="222.79310344827587"/>
    <n v="134.89655172413794"/>
    <n v="180.06896551724137"/>
    <n v="198.10344827586206"/>
    <n v="252"/>
    <n v="191.10714285714286"/>
    <n v="449.24137931034483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1"/>
    <n v="0"/>
    <n v="0"/>
    <n v="0"/>
    <n v="29"/>
    <n v="97515"/>
  </r>
  <r>
    <x v="7"/>
    <s v="Jordão"/>
    <n v="253.08510638297872"/>
    <n v="363.75"/>
    <n v="170.42553191489361"/>
    <n v="215.63829787234042"/>
    <n v="123.09803921568627"/>
    <n v="204.16666666666666"/>
    <n v="347.1875"/>
    <n v="223.14"/>
    <n v="332.66666666666669"/>
    <n v="167.5"/>
    <n v="250.42857142857142"/>
    <n v="145.95348837209303"/>
    <n v="389.61363636363637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20"/>
    <n v="31"/>
    <n v="0"/>
    <n v="0"/>
    <n v="30"/>
    <n v="52"/>
    <n v="152096"/>
  </r>
  <r>
    <x v="7"/>
    <s v="Cohab I"/>
    <n v="254.67741935483872"/>
    <n v="335.96774193548384"/>
    <n v="312.71875"/>
    <n v="369.09677419354841"/>
    <n v="332"/>
    <n v="264.06666666666666"/>
    <n v="259.93548387096774"/>
    <n v="372.58064516129031"/>
    <n v="271.16129032258067"/>
    <n v="312.77419354838707"/>
    <n v="373.06666666666666"/>
    <n v="266.59375"/>
    <n v="261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8"/>
    <n v="17"/>
    <n v="0"/>
    <n v="0"/>
    <n v="14"/>
    <n v="33"/>
    <n v="123165"/>
  </r>
  <r>
    <x v="7"/>
    <s v="Cohab II"/>
    <n v="241.9375"/>
    <n v="244.90909090909091"/>
    <n v="176.38235294117646"/>
    <n v="259.77142857142854"/>
    <n v="178.30555555555554"/>
    <n v="334.96875"/>
    <n v="296.57575757575756"/>
    <n v="249.72222222222223"/>
    <n v="398.67741935483872"/>
    <n v="238.90625"/>
    <n v="275.08571428571429"/>
    <n v="196.24242424242425"/>
    <n v="370.66666666666669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24"/>
    <n v="1"/>
    <n v="0"/>
    <n v="20"/>
    <n v="36"/>
    <n v="115168"/>
  </r>
  <r>
    <x v="7"/>
    <s v="Cohab III"/>
    <n v="165.84"/>
    <n v="198.4"/>
    <n v="92.375"/>
    <n v="313.875"/>
    <n v="286.64"/>
    <n v="176.45833333333334"/>
    <n v="197.48"/>
    <n v="236.58333333333334"/>
    <n v="216.96"/>
    <n v="211.36"/>
    <n v="159.24"/>
    <n v="161.63999999999999"/>
    <n v="241.33333333333334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2"/>
    <n v="0"/>
    <n v="0"/>
    <n v="1"/>
    <n v="25"/>
    <n v="65394"/>
  </r>
  <r>
    <x v="7"/>
    <s v="Cohab IV"/>
    <n v="314.46666666666664"/>
    <n v="334.56666666666666"/>
    <n v="230.96774193548387"/>
    <n v="290.46666666666664"/>
    <n v="265.31034482758622"/>
    <n v="292.16666666666669"/>
    <n v="240.38709677419354"/>
    <n v="200.37931034482759"/>
    <n v="342.10344827586209"/>
    <n v="195.73333333333332"/>
    <n v="197.8"/>
    <n v="221.10344827586206"/>
    <n v="267.88888888888891"/>
    <x v="60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9"/>
    <n v="0"/>
    <n v="0"/>
    <n v="10"/>
    <n v="31"/>
    <n v="1004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8">
  <location ref="A3:N12" firstHeaderRow="0" firstDataRow="1" firstDataCol="1"/>
  <pivotFields count="35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>
      <items count="62">
        <item x="11"/>
        <item x="38"/>
        <item x="35"/>
        <item x="21"/>
        <item x="44"/>
        <item x="50"/>
        <item x="30"/>
        <item x="42"/>
        <item x="29"/>
        <item x="7"/>
        <item x="37"/>
        <item x="49"/>
        <item x="45"/>
        <item x="14"/>
        <item x="33"/>
        <item x="8"/>
        <item x="43"/>
        <item x="22"/>
        <item x="34"/>
        <item x="48"/>
        <item x="9"/>
        <item x="46"/>
        <item x="39"/>
        <item x="20"/>
        <item x="0"/>
        <item x="59"/>
        <item x="16"/>
        <item x="52"/>
        <item x="15"/>
        <item x="1"/>
        <item x="3"/>
        <item x="19"/>
        <item x="58"/>
        <item x="57"/>
        <item x="40"/>
        <item x="53"/>
        <item x="2"/>
        <item x="51"/>
        <item x="24"/>
        <item x="5"/>
        <item x="10"/>
        <item x="54"/>
        <item x="4"/>
        <item x="32"/>
        <item x="36"/>
        <item x="28"/>
        <item x="47"/>
        <item x="23"/>
        <item x="27"/>
        <item x="12"/>
        <item x="31"/>
        <item x="6"/>
        <item x="17"/>
        <item x="55"/>
        <item x="25"/>
        <item x="13"/>
        <item x="18"/>
        <item x="26"/>
        <item x="56"/>
        <item x="41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Média de CICLO 1" fld="2" subtotal="average" baseField="0" baseItem="0"/>
    <dataField name="Média de CICLO 2" fld="3" subtotal="average" baseField="0" baseItem="0"/>
    <dataField name="Média de CICLO 3" fld="4" subtotal="average" baseField="0" baseItem="0"/>
    <dataField name="Média de CICLO 4" fld="5" subtotal="average" baseField="0" baseItem="0"/>
    <dataField name="Média de CICLO 5" fld="6" subtotal="average" baseField="0" baseItem="0"/>
    <dataField name="Média de CICLO 6" fld="7" subtotal="average" baseField="0" baseItem="0"/>
    <dataField name="Média de CICLO 7" fld="8" subtotal="average" baseField="0" baseItem="0"/>
    <dataField name="Média de CICLO 8" fld="9" subtotal="average" baseField="0" baseItem="0"/>
    <dataField name="Média de CICLO 9" fld="10" subtotal="average" baseField="0" baseItem="0"/>
    <dataField name="Média de CICLO 10" fld="11" subtotal="average" baseField="0" baseItem="0"/>
    <dataField name="Média de CICLO 11" fld="12" subtotal="average" baseField="0" baseItem="0"/>
    <dataField name="Média de CICLO 12" fld="13" subtotal="average" baseField="0" baseItem="0"/>
    <dataField name="Média de CICLO 13" fld="14" subtotal="average" baseField="0" baseItem="2001948536"/>
  </dataFields>
  <formats count="2">
    <format dxfId="1">
      <pivotArea outline="0" collapsedLevelsAreSubtotals="1" fieldPosition="0"/>
    </format>
    <format dxfId="0">
      <pivotArea collapsedLevelsAreSubtotals="1" fieldPosition="0">
        <references count="1">
          <reference field="0" count="0"/>
        </references>
      </pivotArea>
    </format>
  </formats>
  <chartFormats count="13"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7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7" format="11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7" format="12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7" format="13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7" format="14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7" format="15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27" format="16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27" format="17" series="1">
      <pivotArea type="data" outline="0" fieldPosition="0">
        <references count="1">
          <reference field="429496729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5"/>
  <sheetViews>
    <sheetView tabSelected="1" topLeftCell="A40" zoomScale="71" zoomScaleNormal="71" workbookViewId="0">
      <selection activeCell="C2" sqref="C2:T85"/>
    </sheetView>
  </sheetViews>
  <sheetFormatPr defaultRowHeight="15" x14ac:dyDescent="0.25"/>
  <cols>
    <col min="2" max="2" width="20" bestFit="1" customWidth="1"/>
    <col min="28" max="28" width="12.42578125" bestFit="1" customWidth="1"/>
    <col min="29" max="29" width="18.42578125" bestFit="1" customWidth="1"/>
    <col min="30" max="30" width="21.85546875" bestFit="1" customWidth="1"/>
    <col min="31" max="31" width="20" bestFit="1" customWidth="1"/>
    <col min="32" max="32" width="23.28515625" bestFit="1" customWidth="1"/>
    <col min="33" max="33" width="22.7109375" bestFit="1" customWidth="1"/>
    <col min="34" max="34" width="17.42578125" bestFit="1" customWidth="1"/>
    <col min="35" max="35" width="12.5703125" bestFit="1" customWidth="1"/>
  </cols>
  <sheetData>
    <row r="1" spans="1:35" x14ac:dyDescent="0.25">
      <c r="A1" t="s">
        <v>52</v>
      </c>
      <c r="B1" t="s">
        <v>53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122</v>
      </c>
      <c r="AB1" t="s">
        <v>123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124</v>
      </c>
      <c r="AI1" t="s">
        <v>125</v>
      </c>
    </row>
    <row r="2" spans="1:35" x14ac:dyDescent="0.25">
      <c r="A2" t="s">
        <v>54</v>
      </c>
      <c r="B2" s="1" t="s">
        <v>0</v>
      </c>
      <c r="C2" s="1">
        <f>'[1]RECIFE ANTIGO'!$H$31</f>
        <v>153.375</v>
      </c>
      <c r="D2" s="1">
        <f>'[1]RECIFE ANTIGO'!K31</f>
        <v>122.6875</v>
      </c>
      <c r="E2" s="1">
        <f>'[1]RECIFE ANTIGO'!N31</f>
        <v>93.13333333333334</v>
      </c>
      <c r="F2" s="1">
        <f>'[1]RECIFE ANTIGO'!Q31</f>
        <v>319.46666666666664</v>
      </c>
      <c r="G2" s="1">
        <f>'[1]RECIFE ANTIGO'!T31</f>
        <v>244.2</v>
      </c>
      <c r="H2" s="1">
        <f>'[1]RECIFE ANTIGO'!W31</f>
        <v>128.23076923076923</v>
      </c>
      <c r="I2" s="1">
        <f>'[1]RECIFE ANTIGO'!Z31</f>
        <v>217.4375</v>
      </c>
      <c r="J2" s="1">
        <f>'[1]RECIFE ANTIGO'!AC31</f>
        <v>207.70588235294119</v>
      </c>
      <c r="K2" s="1">
        <f>'[1]RECIFE ANTIGO'!AF31</f>
        <v>75.941176470588232</v>
      </c>
      <c r="L2" s="1">
        <f>'[1]RECIFE ANTIGO'!AI31</f>
        <v>168.875</v>
      </c>
      <c r="M2" s="1">
        <f>'[1]RECIFE ANTIGO'!AL31</f>
        <v>179.23529411764707</v>
      </c>
      <c r="N2" s="1">
        <f>'[1]RECIFE ANTIGO'!AO31</f>
        <v>256.35294117647061</v>
      </c>
      <c r="O2" s="1">
        <f>'[1]RECIFE ANTIGO'!AR31</f>
        <v>210.64705882352942</v>
      </c>
      <c r="P2" s="1">
        <f>'[1]RECIFE ANTIGO'!AU31</f>
        <v>114.29411764705883</v>
      </c>
      <c r="Q2" s="1">
        <f>'[1]RECIFE ANTIGO'!AX31</f>
        <v>151.625</v>
      </c>
      <c r="R2" s="1">
        <f>'[1]RECIFE ANTIGO'!BA31</f>
        <v>113</v>
      </c>
      <c r="S2" s="1">
        <f>'[1]RECIFE ANTIGO'!BD31</f>
        <v>111.05882352941177</v>
      </c>
      <c r="T2" s="1">
        <f>'[1]RECIFE ANTIGO'!BG31</f>
        <v>166.5625</v>
      </c>
      <c r="U2" s="1">
        <f>'[1]RECIFE ANTIGO'!BJ31</f>
        <v>103.05882352941177</v>
      </c>
      <c r="V2" s="1" t="e">
        <f>'[1]RECIFE ANTIGO'!BM31</f>
        <v>#DIV/0!</v>
      </c>
      <c r="W2" s="1" t="e">
        <f>'[1]RECIFE ANTIGO'!BP31</f>
        <v>#DIV/0!</v>
      </c>
      <c r="X2" s="1" t="e">
        <f>'[1]RECIFE ANTIGO'!BS31</f>
        <v>#DIV/0!</v>
      </c>
      <c r="Y2" s="1" t="e">
        <f>'[1]RECIFE ANTIGO'!BV31</f>
        <v>#DIV/0!</v>
      </c>
      <c r="Z2" s="1" t="e">
        <f>'[1]RECIFE ANTIGO'!BY31</f>
        <v>#DIV/0!</v>
      </c>
      <c r="AA2" s="1" t="e">
        <f>'[1]RECIFE ANTIGO'!CB31</f>
        <v>#DIV/0!</v>
      </c>
      <c r="AB2" s="1" t="e">
        <f>'[1]RECIFE ANTIGO'!CE31</f>
        <v>#DIV/0!</v>
      </c>
      <c r="AC2">
        <f>'[1]RECIFE ANTIGO'!B33</f>
        <v>1</v>
      </c>
      <c r="AD2">
        <f>'[1]RECIFE ANTIGO'!B34</f>
        <v>14</v>
      </c>
      <c r="AE2">
        <f>'[1]RECIFE ANTIGO'!B35</f>
        <v>0</v>
      </c>
      <c r="AF2">
        <f>'[1]RECIFE ANTIGO'!B36</f>
        <v>0</v>
      </c>
      <c r="AG2">
        <f>'[1]RECIFE ANTIGO'!B37</f>
        <v>1</v>
      </c>
      <c r="AH2">
        <f>'[1]RECIFE ANTIGO'!$B$39</f>
        <v>17</v>
      </c>
      <c r="AI2">
        <f>'[1]RECIFE ANTIGO'!$B$40</f>
        <v>50520</v>
      </c>
    </row>
    <row r="3" spans="1:35" x14ac:dyDescent="0.25">
      <c r="A3" t="s">
        <v>54</v>
      </c>
      <c r="B3" s="1" t="s">
        <v>1</v>
      </c>
      <c r="C3" s="1">
        <f>'[1]SANTO ANTONIO'!H27</f>
        <v>330.6</v>
      </c>
      <c r="D3" s="1">
        <f>'[1]SANTO ANTONIO'!K27</f>
        <v>303.69230769230768</v>
      </c>
      <c r="E3" s="1">
        <f>'[1]SANTO ANTONIO'!N27</f>
        <v>470.38461538461536</v>
      </c>
      <c r="F3" s="1">
        <f>'[1]SANTO ANTONIO'!Q27</f>
        <v>394</v>
      </c>
      <c r="G3" s="1">
        <f>'[1]SANTO ANTONIO'!T27</f>
        <v>87.583333333333329</v>
      </c>
      <c r="H3" s="1">
        <f>'[1]SANTO ANTONIO'!W27</f>
        <v>174.5</v>
      </c>
      <c r="I3" s="1">
        <f>'[1]SANTO ANTONIO'!Z27</f>
        <v>60.727272727272727</v>
      </c>
      <c r="J3" s="1">
        <f>'[1]SANTO ANTONIO'!AC27</f>
        <v>157.25</v>
      </c>
      <c r="K3" s="1">
        <f>'[1]SANTO ANTONIO'!AF27</f>
        <v>83.230769230769226</v>
      </c>
      <c r="L3" s="1">
        <f>'[1]SANTO ANTONIO'!AI27</f>
        <v>144.09090909090909</v>
      </c>
      <c r="M3" s="1">
        <f>'[1]SANTO ANTONIO'!AL27</f>
        <v>126.77777777777777</v>
      </c>
      <c r="N3" s="1">
        <f>'[1]SANTO ANTONIO'!AO27</f>
        <v>163.25</v>
      </c>
      <c r="O3" s="1">
        <f>'[1]SANTO ANTONIO'!AR27</f>
        <v>62.416666666666664</v>
      </c>
      <c r="P3" s="1">
        <f>'[1]SANTO ANTONIO'!AU27</f>
        <v>126</v>
      </c>
      <c r="Q3" s="1">
        <f>'[1]SANTO ANTONIO'!AX27</f>
        <v>91.545454545454547</v>
      </c>
      <c r="R3" s="1">
        <f>'[1]SANTO ANTONIO'!BA27</f>
        <v>93.307692307692307</v>
      </c>
      <c r="S3" s="1">
        <f>'[1]SANTO ANTONIO'!BD27</f>
        <v>63.727272727272727</v>
      </c>
      <c r="T3" s="1">
        <f>'[1]SANTO ANTONIO'!BG27</f>
        <v>87.2</v>
      </c>
      <c r="U3" s="1">
        <f>'[1]SANTO ANTONIO'!BJ27</f>
        <v>131.33333333333334</v>
      </c>
      <c r="V3" s="1" t="e">
        <f>'[1]SANTO ANTONIO'!BM27</f>
        <v>#DIV/0!</v>
      </c>
      <c r="W3" s="1" t="e">
        <f>'[1]SANTO ANTONIO'!BP27</f>
        <v>#DIV/0!</v>
      </c>
      <c r="X3" s="1" t="e">
        <f>'[1]SANTO ANTONIO'!BS27</f>
        <v>#DIV/0!</v>
      </c>
      <c r="Y3" s="1" t="e">
        <f>'[1]SANTO ANTONIO'!BV27</f>
        <v>#DIV/0!</v>
      </c>
      <c r="Z3" s="1" t="e">
        <f>'[1]SANTO ANTONIO'!BY27</f>
        <v>#DIV/0!</v>
      </c>
      <c r="AA3" s="1" t="e">
        <f>'[1]SANTO ANTONIO'!CB27</f>
        <v>#DIV/0!</v>
      </c>
      <c r="AB3" s="1" t="e">
        <f>'[1]SANTO ANTONIO'!CE27</f>
        <v>#DIV/0!</v>
      </c>
      <c r="AC3">
        <f>'[1]SANTO ANTONIO'!B29</f>
        <v>4</v>
      </c>
      <c r="AD3">
        <f>'[1]SANTO ANTONIO'!B30</f>
        <v>3</v>
      </c>
      <c r="AE3">
        <f>'[1]SANTO ANTONIO'!B31</f>
        <v>0</v>
      </c>
      <c r="AF3">
        <f>'[1]SANTO ANTONIO'!B32</f>
        <v>0</v>
      </c>
      <c r="AG3">
        <f>'[1]SANTO ANTONIO'!B33</f>
        <v>1</v>
      </c>
      <c r="AH3">
        <f>'[1]SANTO ANTONIO'!B35</f>
        <v>13</v>
      </c>
      <c r="AI3">
        <f>'[1]SANTO ANTONIO'!B36</f>
        <v>35359</v>
      </c>
    </row>
    <row r="4" spans="1:35" x14ac:dyDescent="0.25">
      <c r="A4" t="s">
        <v>54</v>
      </c>
      <c r="B4" s="1" t="s">
        <v>2</v>
      </c>
      <c r="C4" s="1">
        <f>[1]COELHOS!$H$26</f>
        <v>129.36363636363637</v>
      </c>
      <c r="D4" s="1">
        <f>[1]COELHOS!$K$26</f>
        <v>114.27272727272727</v>
      </c>
      <c r="E4" s="1">
        <f>[1]COELHOS!N26</f>
        <v>263.36363636363637</v>
      </c>
      <c r="F4" s="1">
        <f>[1]COELHOS!Q26</f>
        <v>410.91666666666669</v>
      </c>
      <c r="G4" s="1">
        <f>[1]COELHOS!T26</f>
        <v>126.25</v>
      </c>
      <c r="H4" s="1">
        <f>[1]COELHOS!W26</f>
        <v>215.08333333333334</v>
      </c>
      <c r="I4" s="1">
        <f>[1]COELHOS!Z26</f>
        <v>200.41666666666666</v>
      </c>
      <c r="J4" s="1">
        <f>[1]COELHOS!AC26</f>
        <v>169.41666666666666</v>
      </c>
      <c r="K4" s="1">
        <f>[1]COELHOS!AF26</f>
        <v>99.545454545454547</v>
      </c>
      <c r="L4" s="1">
        <f>[1]COELHOS!AI26</f>
        <v>184.91666666666666</v>
      </c>
      <c r="M4" s="1">
        <f>[1]COELHOS!AL26</f>
        <v>152.45454545454547</v>
      </c>
      <c r="N4" s="1">
        <f>[1]COELHOS!AO26</f>
        <v>263.41666666666669</v>
      </c>
      <c r="O4" s="1">
        <f>[1]COELHOS!AR26</f>
        <v>327.08333333333331</v>
      </c>
      <c r="P4" s="1">
        <f>[1]COELHOS!AU26</f>
        <v>140.09090909090909</v>
      </c>
      <c r="Q4" s="1">
        <f>[1]COELHOS!AX26</f>
        <v>192.33333333333334</v>
      </c>
      <c r="R4" s="1">
        <f>[1]COELHOS!BA26</f>
        <v>206.75</v>
      </c>
      <c r="S4" s="1">
        <f>[1]COELHOS!BD26</f>
        <v>315.41666666666669</v>
      </c>
      <c r="T4" s="1">
        <f>[1]COELHOS!BG26</f>
        <v>341.08333333333331</v>
      </c>
      <c r="U4" s="1">
        <f>[1]COELHOS!BJ26</f>
        <v>174.66666666666666</v>
      </c>
      <c r="V4" s="1" t="e">
        <f>[1]COELHOS!BM26</f>
        <v>#DIV/0!</v>
      </c>
      <c r="W4" s="1" t="e">
        <f>[1]COELHOS!BP26</f>
        <v>#DIV/0!</v>
      </c>
      <c r="X4" s="1" t="e">
        <f>[1]COELHOS!BS26</f>
        <v>#DIV/0!</v>
      </c>
      <c r="Y4" s="1" t="e">
        <f>[1]COELHOS!BV26</f>
        <v>#DIV/0!</v>
      </c>
      <c r="Z4" s="1" t="e">
        <f>[1]COELHOS!BY26</f>
        <v>#DIV/0!</v>
      </c>
      <c r="AA4" s="1" t="e">
        <f>[1]COELHOS!CB26</f>
        <v>#DIV/0!</v>
      </c>
      <c r="AB4" s="1" t="e">
        <f>[1]COELHOS!CE26</f>
        <v>#DIV/0!</v>
      </c>
      <c r="AC4">
        <f>[1]COELHOS!B28</f>
        <v>0</v>
      </c>
      <c r="AD4">
        <f>[1]COELHOS!B29</f>
        <v>6</v>
      </c>
      <c r="AE4">
        <f>[1]COELHOS!B30</f>
        <v>0</v>
      </c>
      <c r="AF4">
        <f>[1]COELHOS!B31</f>
        <v>0</v>
      </c>
      <c r="AG4">
        <f>[1]COELHOS!B32</f>
        <v>0</v>
      </c>
      <c r="AH4">
        <f>[1]COELHOS!B34</f>
        <v>12</v>
      </c>
      <c r="AI4">
        <f>[1]COELHOS!$B$35</f>
        <v>47423</v>
      </c>
    </row>
    <row r="5" spans="1:35" x14ac:dyDescent="0.25">
      <c r="A5" t="s">
        <v>54</v>
      </c>
      <c r="B5" s="1" t="s">
        <v>3</v>
      </c>
      <c r="C5" s="1">
        <f>[1]PAISSANDU!H20</f>
        <v>338.16666666666669</v>
      </c>
      <c r="D5" s="1">
        <f>[1]PAISSANDU!K20</f>
        <v>276.16666666666669</v>
      </c>
      <c r="E5" s="1">
        <f>[1]PAISSANDU!N20</f>
        <v>431.83333333333331</v>
      </c>
      <c r="F5" s="1">
        <f>[1]PAISSANDU!Q20</f>
        <v>471.83333333333331</v>
      </c>
      <c r="G5" s="1">
        <f>[1]PAISSANDU!T20</f>
        <v>473.16666666666669</v>
      </c>
      <c r="H5" s="1">
        <f>[1]PAISSANDU!W20</f>
        <v>344.83333333333331</v>
      </c>
      <c r="I5" s="1">
        <f>[1]PAISSANDU!Z20</f>
        <v>375.5</v>
      </c>
      <c r="J5" s="1">
        <f>[1]PAISSANDU!AC20</f>
        <v>569.66666666666663</v>
      </c>
      <c r="K5" s="1">
        <f>[1]PAISSANDU!AF20</f>
        <v>293.16666666666669</v>
      </c>
      <c r="L5" s="1">
        <f>[1]PAISSANDU!AI20</f>
        <v>466.16666666666669</v>
      </c>
      <c r="M5" s="1">
        <f>[1]PAISSANDU!AL20</f>
        <v>417.33333333333331</v>
      </c>
      <c r="N5" s="1">
        <f>[1]PAISSANDU!AO20</f>
        <v>339.5</v>
      </c>
      <c r="O5" s="1">
        <f>[1]PAISSANDU!AR20</f>
        <v>222.66666666666666</v>
      </c>
      <c r="P5" s="1">
        <f>[1]PAISSANDU!AU20</f>
        <v>171.83333333333334</v>
      </c>
      <c r="Q5" s="1">
        <f>[1]PAISSANDU!AX20</f>
        <v>138</v>
      </c>
      <c r="R5" s="1">
        <f>[1]PAISSANDU!BA20</f>
        <v>173.33333333333334</v>
      </c>
      <c r="S5" s="1">
        <f>[1]PAISSANDU!BD20</f>
        <v>188.83333333333334</v>
      </c>
      <c r="T5" s="1">
        <f>[1]PAISSANDU!BG20</f>
        <v>112.16666666666667</v>
      </c>
      <c r="U5" s="1">
        <f>[1]PAISSANDU!BJ20</f>
        <v>158.4</v>
      </c>
      <c r="V5" s="1" t="e">
        <f>[1]PAISSANDU!BM20</f>
        <v>#DIV/0!</v>
      </c>
      <c r="W5" s="1" t="e">
        <f>[1]PAISSANDU!BP20</f>
        <v>#DIV/0!</v>
      </c>
      <c r="X5" s="1" t="e">
        <f>[1]PAISSANDU!BS20</f>
        <v>#DIV/0!</v>
      </c>
      <c r="Y5" s="1" t="e">
        <f>[1]PAISSANDU!BV20</f>
        <v>#DIV/0!</v>
      </c>
      <c r="Z5" s="1" t="e">
        <f>[1]PAISSANDU!BY20</f>
        <v>#DIV/0!</v>
      </c>
      <c r="AA5" s="1" t="e">
        <f>[1]PAISSANDU!CB20</f>
        <v>#DIV/0!</v>
      </c>
      <c r="AB5" s="1" t="e">
        <f>[1]PAISSANDU!CE20</f>
        <v>#DIV/0!</v>
      </c>
      <c r="AC5">
        <f>[1]PAISSANDU!B23</f>
        <v>0</v>
      </c>
      <c r="AD5">
        <f>[1]PAISSANDU!B24</f>
        <v>1</v>
      </c>
      <c r="AE5">
        <f>[1]PAISSANDU!B25</f>
        <v>0</v>
      </c>
      <c r="AF5">
        <f>[1]PAISSANDU!B26</f>
        <v>0</v>
      </c>
      <c r="AG5">
        <f>[1]PAISSANDU!B27</f>
        <v>0</v>
      </c>
      <c r="AH5">
        <f>[1]PAISSANDU!$B$29</f>
        <v>6</v>
      </c>
      <c r="AI5">
        <f>[1]PAISSANDU!$B$30</f>
        <v>35617</v>
      </c>
    </row>
    <row r="6" spans="1:35" x14ac:dyDescent="0.25">
      <c r="A6" t="s">
        <v>54</v>
      </c>
      <c r="B6" s="1" t="s">
        <v>4</v>
      </c>
      <c r="C6" s="1">
        <f>[1]CABANGA!H27</f>
        <v>75.400000000000006</v>
      </c>
      <c r="D6" s="1">
        <f>[1]CABANGA!K27</f>
        <v>109.23076923076923</v>
      </c>
      <c r="E6" s="1">
        <f>[1]CABANGA!N27</f>
        <v>159.84615384615384</v>
      </c>
      <c r="F6" s="1">
        <f>[1]CABANGA!Q27</f>
        <v>112.30769230769231</v>
      </c>
      <c r="G6" s="1">
        <f>[1]CABANGA!T27</f>
        <v>190.66666666666666</v>
      </c>
      <c r="H6" s="1">
        <f>[1]CABANGA!W27</f>
        <v>77.583333333333329</v>
      </c>
      <c r="I6" s="1">
        <f>[1]CABANGA!Z27</f>
        <v>146.09090909090909</v>
      </c>
      <c r="J6" s="1">
        <f>[1]CABANGA!AC27</f>
        <v>180.66666666666666</v>
      </c>
      <c r="K6" s="1">
        <f>[1]CABANGA!AF27</f>
        <v>71</v>
      </c>
      <c r="L6" s="1">
        <f>[1]CABANGA!AI27</f>
        <v>214.66666666666666</v>
      </c>
      <c r="M6" s="1">
        <f>[1]CABANGA!AL27</f>
        <v>264.61538461538464</v>
      </c>
      <c r="N6" s="1">
        <f>[1]CABANGA!AO27</f>
        <v>196.33333333333334</v>
      </c>
      <c r="O6" s="1">
        <f>[1]CABANGA!AR27</f>
        <v>80.181818181818187</v>
      </c>
      <c r="P6" s="1">
        <f>[1]CABANGA!AU27</f>
        <v>50.75</v>
      </c>
      <c r="Q6" s="1">
        <f>[1]CABANGA!AX27</f>
        <v>296.84615384615387</v>
      </c>
      <c r="R6" s="1">
        <f>[1]CABANGA!BA27</f>
        <v>106.15384615384616</v>
      </c>
      <c r="S6" s="1">
        <f>[1]CABANGA!BD27</f>
        <v>90.538461538461533</v>
      </c>
      <c r="T6" s="1">
        <f>[1]CABANGA!BG27</f>
        <v>147</v>
      </c>
      <c r="U6" s="1">
        <f>[1]CABANGA!BJ27</f>
        <v>85.230769230769226</v>
      </c>
      <c r="V6" s="1" t="e">
        <f>[1]CABANGA!BM27</f>
        <v>#DIV/0!</v>
      </c>
      <c r="W6" s="1" t="e">
        <f>[1]CABANGA!BP27</f>
        <v>#DIV/0!</v>
      </c>
      <c r="X6" s="1" t="e">
        <f>[1]CABANGA!BS27</f>
        <v>#DIV/0!</v>
      </c>
      <c r="Y6" s="1" t="e">
        <f>[1]CABANGA!BV27</f>
        <v>#DIV/0!</v>
      </c>
      <c r="Z6" s="1" t="e">
        <f>[1]CABANGA!BY27</f>
        <v>#DIV/0!</v>
      </c>
      <c r="AA6" s="1" t="e">
        <f>[1]CABANGA!CB27</f>
        <v>#DIV/0!</v>
      </c>
      <c r="AB6" s="1" t="e">
        <f>[1]CABANGA!CE27</f>
        <v>#DIV/0!</v>
      </c>
      <c r="AC6">
        <f>[1]CABANGA!B30</f>
        <v>3</v>
      </c>
      <c r="AD6">
        <f>[1]CABANGA!B31</f>
        <v>10</v>
      </c>
      <c r="AE6">
        <f>[1]CABANGA!B32</f>
        <v>0</v>
      </c>
      <c r="AF6">
        <f>[1]CABANGA!B33</f>
        <v>0</v>
      </c>
      <c r="AG6">
        <f>[1]CABANGA!B34</f>
        <v>3</v>
      </c>
      <c r="AH6">
        <f>[1]CABANGA!$B$36</f>
        <v>13</v>
      </c>
      <c r="AI6">
        <f>[1]CABANGA!$B$37</f>
        <v>32856</v>
      </c>
    </row>
    <row r="7" spans="1:35" x14ac:dyDescent="0.25">
      <c r="A7" t="s">
        <v>54</v>
      </c>
      <c r="B7" s="1" t="s">
        <v>5</v>
      </c>
      <c r="C7" s="1">
        <f>'[1]SANTO AMARO '!H98</f>
        <v>193.51807228915663</v>
      </c>
      <c r="D7" s="1">
        <f>'[1]SANTO AMARO '!K98</f>
        <v>183.65432098765433</v>
      </c>
      <c r="E7" s="1">
        <f>'[1]SANTO AMARO '!N98</f>
        <v>272.51190476190476</v>
      </c>
      <c r="F7" s="1">
        <f>'[1]SANTO AMARO '!Q98</f>
        <v>422.36585365853659</v>
      </c>
      <c r="G7" s="1">
        <f>'[1]SANTO AMARO '!T98</f>
        <v>260.52439024390242</v>
      </c>
      <c r="H7" s="1">
        <f>'[1]SANTO AMARO '!W98</f>
        <v>326.78048780487802</v>
      </c>
      <c r="I7" s="1">
        <f>'[1]SANTO AMARO '!Z98</f>
        <v>210.92682926829269</v>
      </c>
      <c r="J7" s="1">
        <f>'[1]SANTO AMARO '!AC98</f>
        <v>182.10256410256412</v>
      </c>
      <c r="K7" s="1">
        <f>'[1]SANTO AMARO '!AF98</f>
        <v>150.26506024096386</v>
      </c>
      <c r="L7" s="1">
        <f>'[1]SANTO AMARO '!AI98</f>
        <v>277.22222222222223</v>
      </c>
      <c r="M7" s="1">
        <f>'[1]SANTO AMARO '!AL98</f>
        <v>360.46987951807228</v>
      </c>
      <c r="N7" s="1">
        <f>'[1]SANTO AMARO '!AO98</f>
        <v>298.73493975903614</v>
      </c>
      <c r="O7" s="1">
        <f>'[1]SANTO AMARO '!AR98</f>
        <v>235.97590361445782</v>
      </c>
      <c r="P7" s="1">
        <f>'[1]SANTO AMARO '!AU98</f>
        <v>197.11904761904762</v>
      </c>
      <c r="Q7" s="1">
        <f>'[1]SANTO AMARO '!AX98</f>
        <v>234.24096385542168</v>
      </c>
      <c r="R7" s="1">
        <f>'[1]SANTO AMARO '!BA98</f>
        <v>180.85542168674698</v>
      </c>
      <c r="S7" s="1">
        <f>'[1]SANTO AMARO '!BD98</f>
        <v>180.40740740740742</v>
      </c>
      <c r="T7" s="1">
        <f>'[1]SANTO AMARO '!BG98</f>
        <v>136.39240506329114</v>
      </c>
      <c r="U7" s="1">
        <f>'[1]SANTO AMARO '!BJ98</f>
        <v>196.9156626506024</v>
      </c>
      <c r="V7" s="1" t="e">
        <f>'[1]SANTO AMARO '!BM98</f>
        <v>#DIV/0!</v>
      </c>
      <c r="W7" s="1" t="e">
        <f>'[1]SANTO AMARO '!BP98</f>
        <v>#DIV/0!</v>
      </c>
      <c r="X7" s="1" t="e">
        <f>'[1]SANTO AMARO '!BS98</f>
        <v>#DIV/0!</v>
      </c>
      <c r="Y7" s="1" t="e">
        <f>'[1]SANTO AMARO '!BV98</f>
        <v>#DIV/0!</v>
      </c>
      <c r="Z7" s="1" t="e">
        <f>'[1]SANTO AMARO '!BY98</f>
        <v>#DIV/0!</v>
      </c>
      <c r="AA7" s="1" t="e">
        <f>'[1]SANTO AMARO '!CB98</f>
        <v>#DIV/0!</v>
      </c>
      <c r="AB7" s="1" t="e">
        <f>'[1]SANTO AMARO '!CE98</f>
        <v>#DIV/0!</v>
      </c>
      <c r="AC7">
        <f>'[1]SANTO AMARO '!B101</f>
        <v>10</v>
      </c>
      <c r="AD7">
        <f>'[1]SANTO AMARO '!B102</f>
        <v>12</v>
      </c>
      <c r="AE7">
        <f>'[1]SANTO AMARO '!B103</f>
        <v>0</v>
      </c>
      <c r="AF7">
        <f>'[1]SANTO AMARO '!B104</f>
        <v>0</v>
      </c>
      <c r="AG7">
        <f>'[1]SANTO AMARO '!B105</f>
        <v>5</v>
      </c>
      <c r="AH7">
        <f>'[1]SANTO AMARO '!$B$107</f>
        <v>84</v>
      </c>
      <c r="AI7">
        <f>'[1]SANTO AMARO '!$B$108</f>
        <v>370092</v>
      </c>
    </row>
    <row r="8" spans="1:35" x14ac:dyDescent="0.25">
      <c r="A8" t="s">
        <v>54</v>
      </c>
      <c r="B8" s="1" t="s">
        <v>6</v>
      </c>
      <c r="C8" s="1">
        <f>'[1]ILHA DO LEITE'!H20</f>
        <v>296.25</v>
      </c>
      <c r="D8" s="1">
        <f>'[1]ILHA DO LEITE'!K20</f>
        <v>216.83333333333334</v>
      </c>
      <c r="E8" s="1">
        <f>'[1]ILHA DO LEITE'!N20</f>
        <v>431.33333333333331</v>
      </c>
      <c r="F8" s="1">
        <f>'[1]ILHA DO LEITE'!Q20</f>
        <v>267.33333333333331</v>
      </c>
      <c r="G8" s="1">
        <f>'[1]ILHA DO LEITE'!T20</f>
        <v>472.83333333333331</v>
      </c>
      <c r="H8" s="1">
        <f>'[1]ILHA DO LEITE'!W20</f>
        <v>413.83333333333331</v>
      </c>
      <c r="I8" s="1">
        <f>'[1]ILHA DO LEITE'!Z20</f>
        <v>214</v>
      </c>
      <c r="J8" s="1">
        <f>'[1]ILHA DO LEITE'!AC20</f>
        <v>222.83333333333334</v>
      </c>
      <c r="K8" s="1">
        <f>'[1]ILHA DO LEITE'!AF20</f>
        <v>78.333333333333329</v>
      </c>
      <c r="L8" s="1">
        <f>'[1]ILHA DO LEITE'!AI20</f>
        <v>265</v>
      </c>
      <c r="M8" s="1">
        <f>'[1]ILHA DO LEITE'!AL20</f>
        <v>433.66666666666669</v>
      </c>
      <c r="N8" s="1">
        <f>'[1]ILHA DO LEITE'!AO20</f>
        <v>255</v>
      </c>
      <c r="O8" s="1">
        <f>'[1]ILHA DO LEITE'!AR20</f>
        <v>177.8</v>
      </c>
      <c r="P8" s="1" t="str">
        <f>'[1]ILHA DO LEITE'!AU20</f>
        <v/>
      </c>
      <c r="Q8" s="1">
        <f>'[1]ILHA DO LEITE'!AX20</f>
        <v>190.16666666666666</v>
      </c>
      <c r="R8" s="1">
        <f>'[1]ILHA DO LEITE'!BA20</f>
        <v>190.33333333333334</v>
      </c>
      <c r="S8" s="1">
        <f>'[1]ILHA DO LEITE'!BD20</f>
        <v>201</v>
      </c>
      <c r="T8" s="1">
        <f>'[1]ILHA DO LEITE'!BG20</f>
        <v>104.83333333333333</v>
      </c>
      <c r="U8" s="1">
        <f>'[1]ILHA DO LEITE'!BJ20</f>
        <v>243.16666666666666</v>
      </c>
      <c r="V8" s="1" t="e">
        <f>'[1]ILHA DO LEITE'!BM20</f>
        <v>#DIV/0!</v>
      </c>
      <c r="W8" s="1" t="e">
        <f>'[1]ILHA DO LEITE'!BP20</f>
        <v>#DIV/0!</v>
      </c>
      <c r="X8" s="1" t="e">
        <f>'[1]ILHA DO LEITE'!BS20</f>
        <v>#DIV/0!</v>
      </c>
      <c r="Y8" s="1" t="e">
        <f>'[1]ILHA DO LEITE'!BV20</f>
        <v>#DIV/0!</v>
      </c>
      <c r="Z8" s="1" t="e">
        <f>'[1]ILHA DO LEITE'!BY20</f>
        <v>#DIV/0!</v>
      </c>
      <c r="AA8" s="1" t="e">
        <f>'[1]ILHA DO LEITE'!CB20</f>
        <v>#DIV/0!</v>
      </c>
      <c r="AB8" s="1" t="e">
        <f>'[1]ILHA DO LEITE'!CE20</f>
        <v>#DIV/0!</v>
      </c>
      <c r="AC8">
        <f>'[1]ILHA DO LEITE'!B22</f>
        <v>3</v>
      </c>
      <c r="AD8">
        <f>'[1]ILHA DO LEITE'!B23</f>
        <v>3</v>
      </c>
      <c r="AE8">
        <f>'[1]ILHA DO LEITE'!B24</f>
        <v>0</v>
      </c>
      <c r="AF8">
        <f>'[1]ILHA DO LEITE'!B25</f>
        <v>0</v>
      </c>
      <c r="AG8">
        <f>'[1]ILHA DO LEITE'!B26</f>
        <v>1</v>
      </c>
      <c r="AH8">
        <f>'[1]ILHA DO LEITE'!$B$28</f>
        <v>6</v>
      </c>
      <c r="AI8">
        <f>'[1]ILHA DO LEITE'!$B$29</f>
        <v>27909</v>
      </c>
    </row>
    <row r="9" spans="1:35" x14ac:dyDescent="0.25">
      <c r="A9" t="s">
        <v>54</v>
      </c>
      <c r="B9" s="1" t="s">
        <v>7</v>
      </c>
      <c r="C9" s="1">
        <f>[1]SOLEDADE!H23</f>
        <v>72</v>
      </c>
      <c r="D9" s="1">
        <f>[1]SOLEDADE!K23</f>
        <v>329.44444444444446</v>
      </c>
      <c r="E9" s="1">
        <f>[1]SOLEDADE!N23</f>
        <v>423.88888888888891</v>
      </c>
      <c r="F9" s="1">
        <f>[1]SOLEDADE!Q23</f>
        <v>355.77777777777777</v>
      </c>
      <c r="G9" s="1">
        <f>[1]SOLEDADE!T23</f>
        <v>314</v>
      </c>
      <c r="H9" s="1">
        <f>[1]SOLEDADE!W23</f>
        <v>451.75</v>
      </c>
      <c r="I9" s="1">
        <f>[1]SOLEDADE!Z23</f>
        <v>186.44444444444446</v>
      </c>
      <c r="J9" s="1">
        <f>[1]SOLEDADE!AC23</f>
        <v>211</v>
      </c>
      <c r="K9" s="1">
        <f>[1]SOLEDADE!AF23</f>
        <v>93.375</v>
      </c>
      <c r="L9" s="1">
        <f>[1]SOLEDADE!AI23</f>
        <v>198.11111111111111</v>
      </c>
      <c r="M9" s="1">
        <f>[1]SOLEDADE!AL23</f>
        <v>183.44444444444446</v>
      </c>
      <c r="N9" s="1">
        <f>[1]SOLEDADE!AO23</f>
        <v>251.55555555555554</v>
      </c>
      <c r="O9" s="1">
        <f>[1]SOLEDADE!AR23</f>
        <v>235.44444444444446</v>
      </c>
      <c r="P9" s="1">
        <f>[1]SOLEDADE!AU23</f>
        <v>109.66666666666667</v>
      </c>
      <c r="Q9" s="1">
        <f>[1]SOLEDADE!AX23</f>
        <v>142.88888888888889</v>
      </c>
      <c r="R9" s="1">
        <f>[1]SOLEDADE!BA23</f>
        <v>91.625</v>
      </c>
      <c r="S9" s="1">
        <f>[1]SOLEDADE!BD23</f>
        <v>110</v>
      </c>
      <c r="T9" s="1">
        <f>[1]SOLEDADE!BG23</f>
        <v>146.11111111111111</v>
      </c>
      <c r="U9" s="1">
        <f>[1]SOLEDADE!BJ23</f>
        <v>145.77777777777777</v>
      </c>
      <c r="V9" s="1" t="e">
        <f>[1]SOLEDADE!BM23</f>
        <v>#DIV/0!</v>
      </c>
      <c r="W9" s="1" t="e">
        <f>[1]SOLEDADE!BP23</f>
        <v>#DIV/0!</v>
      </c>
      <c r="X9" s="1" t="e">
        <f>[1]SOLEDADE!BS23</f>
        <v>#DIV/0!</v>
      </c>
      <c r="Y9" s="1" t="e">
        <f>[1]SOLEDADE!BV23</f>
        <v>#DIV/0!</v>
      </c>
      <c r="Z9" s="1" t="e">
        <f>[1]SOLEDADE!BY23</f>
        <v>#DIV/0!</v>
      </c>
      <c r="AA9" s="1" t="e">
        <f>[1]SOLEDADE!CB23</f>
        <v>#DIV/0!</v>
      </c>
      <c r="AB9" s="1" t="e">
        <f>[1]SOLEDADE!CE23</f>
        <v>#DIV/0!</v>
      </c>
      <c r="AC9">
        <f>[1]SOLEDADE!B26</f>
        <v>0</v>
      </c>
      <c r="AD9">
        <f>[1]SOLEDADE!B27</f>
        <v>2</v>
      </c>
      <c r="AE9">
        <f>[1]SOLEDADE!B28</f>
        <v>0</v>
      </c>
      <c r="AF9">
        <f>[1]SOLEDADE!B29</f>
        <v>0</v>
      </c>
      <c r="AG9">
        <f>[1]SOLEDADE!B30</f>
        <v>0</v>
      </c>
      <c r="AH9">
        <f>[1]SOLEDADE!$B$32</f>
        <v>9</v>
      </c>
      <c r="AI9">
        <f>[1]SOLEDADE!$B$33</f>
        <v>35614</v>
      </c>
    </row>
    <row r="10" spans="1:35" x14ac:dyDescent="0.25">
      <c r="A10" t="s">
        <v>54</v>
      </c>
      <c r="B10" s="1" t="s">
        <v>8</v>
      </c>
      <c r="C10" s="1">
        <f>'[1]SÃO JOSÉ'!$H$61</f>
        <v>176.60869565217391</v>
      </c>
      <c r="D10" s="1">
        <f>'[1]SÃO JOSÉ'!$K$61</f>
        <v>136.38636363636363</v>
      </c>
      <c r="E10" s="1">
        <f>'[1]SÃO JOSÉ'!$N$61</f>
        <v>225.97435897435898</v>
      </c>
      <c r="F10" s="1">
        <f>'[1]SÃO JOSÉ'!$Q$61</f>
        <v>158.65217391304347</v>
      </c>
      <c r="G10" s="1">
        <f>'[1]SÃO JOSÉ'!$T$61</f>
        <v>145.37777777777777</v>
      </c>
      <c r="H10" s="1">
        <f>'[1]SÃO JOSÉ'!$W$61</f>
        <v>214.8095238095238</v>
      </c>
      <c r="I10" s="1">
        <f>'[1]SÃO JOSÉ'!$Z$61</f>
        <v>129.78571428571428</v>
      </c>
      <c r="J10" s="1">
        <f>'[1]SÃO JOSÉ'!$AC$61</f>
        <v>185.46341463414635</v>
      </c>
      <c r="K10" s="1">
        <f>'[1]SÃO JOSÉ'!$AF$61</f>
        <v>130.5</v>
      </c>
      <c r="L10" s="1">
        <f>'[1]SÃO JOSÉ'!$AI$61</f>
        <v>271.23913043478262</v>
      </c>
      <c r="M10" s="1">
        <f>'[1]SÃO JOSÉ'!$AL$61</f>
        <v>285.69565217391306</v>
      </c>
      <c r="N10" s="1">
        <f>'[1]SÃO JOSÉ'!$AO$61</f>
        <v>267.39999999999998</v>
      </c>
      <c r="O10" s="1">
        <f>'[1]SÃO JOSÉ'!$AR$61</f>
        <v>107.26086956521739</v>
      </c>
      <c r="P10" s="1">
        <f>'[1]SÃO JOSÉ'!$AU$61</f>
        <v>190.02127659574469</v>
      </c>
      <c r="Q10" s="1">
        <f>'[1]SÃO JOSÉ'!$AX$61</f>
        <v>178.13043478260869</v>
      </c>
      <c r="R10" s="1">
        <f>'[1]SÃO JOSÉ'!$BA$61</f>
        <v>173.84090909090909</v>
      </c>
      <c r="S10" s="1">
        <f>'[1]SÃO JOSÉ'!$BD$61</f>
        <v>173.77272727272728</v>
      </c>
      <c r="T10" s="1">
        <f>'[1]SÃO JOSÉ'!$BG$61</f>
        <v>157.42222222222222</v>
      </c>
      <c r="U10" s="1">
        <f>'[1]SÃO JOSÉ'!$BJ$61</f>
        <v>176.62222222222223</v>
      </c>
      <c r="V10" s="1" t="e">
        <f>'[1]SÃO JOSÉ'!$BM$61</f>
        <v>#DIV/0!</v>
      </c>
      <c r="W10" s="1" t="e">
        <f>'[1]SÃO JOSÉ'!$BP$61</f>
        <v>#DIV/0!</v>
      </c>
      <c r="X10" s="1" t="e">
        <f>'[1]SÃO JOSÉ'!$BS$61</f>
        <v>#DIV/0!</v>
      </c>
      <c r="Y10" s="1" t="e">
        <f>'[1]SÃO JOSÉ'!$BV$61</f>
        <v>#DIV/0!</v>
      </c>
      <c r="Z10" s="1" t="e">
        <f>'[1]SÃO JOSÉ'!$BY$61</f>
        <v>#DIV/0!</v>
      </c>
      <c r="AA10" s="1" t="e">
        <f>'[1]SÃO JOSÉ'!$CB$61</f>
        <v>#DIV/0!</v>
      </c>
      <c r="AB10" s="1" t="e">
        <f>'[1]SÃO JOSÉ'!$CE$61</f>
        <v>#DIV/0!</v>
      </c>
      <c r="AC10">
        <f>'[1]SÃO JOSÉ'!B66</f>
        <v>14</v>
      </c>
      <c r="AD10">
        <f>'[1]SÃO JOSÉ'!B67</f>
        <v>18</v>
      </c>
      <c r="AE10">
        <f>'[1]SÃO JOSÉ'!B68</f>
        <v>0</v>
      </c>
      <c r="AF10">
        <f>'[1]SÃO JOSÉ'!B69</f>
        <v>0</v>
      </c>
      <c r="AG10">
        <f>'[1]SÃO JOSÉ'!B70</f>
        <v>11</v>
      </c>
      <c r="AH10">
        <f>'[1]SÃO JOSÉ'!$B$72</f>
        <v>47</v>
      </c>
      <c r="AI10">
        <f>'[1]SÃO JOSÉ'!$B$73</f>
        <v>154374</v>
      </c>
    </row>
    <row r="11" spans="1:35" x14ac:dyDescent="0.25">
      <c r="A11" t="s">
        <v>54</v>
      </c>
      <c r="B11" s="1" t="s">
        <v>9</v>
      </c>
      <c r="C11" s="1">
        <f>'[1]ILHA JOANA BEZERRA'!H36</f>
        <v>104.66666666666667</v>
      </c>
      <c r="D11" s="1">
        <f>'[1]ILHA JOANA BEZERRA'!K36</f>
        <v>225.9</v>
      </c>
      <c r="E11" s="1">
        <f>'[1]ILHA JOANA BEZERRA'!N36</f>
        <v>267.5</v>
      </c>
      <c r="F11" s="1">
        <f>'[1]ILHA JOANA BEZERRA'!Q36</f>
        <v>276.18181818181819</v>
      </c>
      <c r="G11" s="1">
        <f>'[1]ILHA JOANA BEZERRA'!T36</f>
        <v>203.04545454545453</v>
      </c>
      <c r="H11" s="1">
        <f>'[1]ILHA JOANA BEZERRA'!W36</f>
        <v>286.22727272727275</v>
      </c>
      <c r="I11" s="1">
        <f>'[1]ILHA JOANA BEZERRA'!Z36</f>
        <v>272.38095238095241</v>
      </c>
      <c r="J11" s="1">
        <f>'[1]ILHA JOANA BEZERRA'!AC36</f>
        <v>194.52380952380952</v>
      </c>
      <c r="K11" s="1">
        <f>'[1]ILHA JOANA BEZERRA'!AF36</f>
        <v>125.63636363636364</v>
      </c>
      <c r="L11" s="1">
        <f>'[1]ILHA JOANA BEZERRA'!AI36</f>
        <v>186.36363636363637</v>
      </c>
      <c r="M11" s="1">
        <f>'[1]ILHA JOANA BEZERRA'!AL36</f>
        <v>242.72727272727272</v>
      </c>
      <c r="N11" s="1">
        <f>'[1]ILHA JOANA BEZERRA'!AO36</f>
        <v>220.09090909090909</v>
      </c>
      <c r="O11" s="1">
        <f>'[1]ILHA JOANA BEZERRA'!AR36</f>
        <v>111.95454545454545</v>
      </c>
      <c r="P11" s="1">
        <f>'[1]ILHA JOANA BEZERRA'!AU36</f>
        <v>121.05</v>
      </c>
      <c r="Q11" s="1">
        <f>'[1]ILHA JOANA BEZERRA'!AX36</f>
        <v>168</v>
      </c>
      <c r="R11" s="1">
        <f>'[1]ILHA JOANA BEZERRA'!BA36</f>
        <v>232.73684210526315</v>
      </c>
      <c r="S11" s="1">
        <f>'[1]ILHA JOANA BEZERRA'!BD36</f>
        <v>283.14285714285717</v>
      </c>
      <c r="T11" s="1">
        <f>'[1]ILHA JOANA BEZERRA'!BG36</f>
        <v>251.31818181818181</v>
      </c>
      <c r="U11" s="1">
        <f>'[1]ILHA JOANA BEZERRA'!BJ36</f>
        <v>175.59090909090909</v>
      </c>
      <c r="V11" s="1" t="e">
        <f>'[1]ILHA JOANA BEZERRA'!BM36</f>
        <v>#DIV/0!</v>
      </c>
      <c r="W11" s="1" t="e">
        <f>'[1]ILHA JOANA BEZERRA'!BP36</f>
        <v>#DIV/0!</v>
      </c>
      <c r="X11" s="1" t="e">
        <f>'[1]ILHA JOANA BEZERRA'!BS36</f>
        <v>#DIV/0!</v>
      </c>
      <c r="Y11" s="1" t="e">
        <f>'[1]ILHA JOANA BEZERRA'!BV36</f>
        <v>#DIV/0!</v>
      </c>
      <c r="Z11" s="1" t="e">
        <f>'[1]ILHA JOANA BEZERRA'!BY36</f>
        <v>#DIV/0!</v>
      </c>
      <c r="AA11" s="1" t="e">
        <f>'[1]ILHA JOANA BEZERRA'!CB36</f>
        <v>#DIV/0!</v>
      </c>
      <c r="AB11" s="1" t="e">
        <f>'[1]ILHA JOANA BEZERRA'!CE36</f>
        <v>#DIV/0!</v>
      </c>
      <c r="AC11">
        <f>'[1]ILHA JOANA BEZERRA'!B41</f>
        <v>0</v>
      </c>
      <c r="AD11">
        <f>'[1]ILHA JOANA BEZERRA'!B42</f>
        <v>4</v>
      </c>
      <c r="AE11">
        <f>'[1]ILHA JOANA BEZERRA'!B43</f>
        <v>0</v>
      </c>
      <c r="AF11">
        <f>'[1]ILHA JOANA BEZERRA'!B44</f>
        <v>0</v>
      </c>
      <c r="AG11">
        <f>'[1]ILHA JOANA BEZERRA'!B45</f>
        <v>0</v>
      </c>
      <c r="AH11">
        <f>'[1]ILHA JOANA BEZERRA'!$B$47</f>
        <v>22</v>
      </c>
      <c r="AI11">
        <f>'[1]ILHA JOANA BEZERRA'!$B$48</f>
        <v>84632</v>
      </c>
    </row>
    <row r="12" spans="1:35" x14ac:dyDescent="0.25">
      <c r="A12" t="s">
        <v>54</v>
      </c>
      <c r="B12" s="1" t="s">
        <v>10</v>
      </c>
      <c r="C12" s="1">
        <f>'[1]BOA VISTA'!G59</f>
        <v>207.32499999999999</v>
      </c>
      <c r="D12" s="1">
        <f>'[1]BOA VISTA'!J59</f>
        <v>256.16279069767444</v>
      </c>
      <c r="E12" s="1">
        <f>'[1]BOA VISTA'!M59</f>
        <v>334.95555555555558</v>
      </c>
      <c r="F12" s="1">
        <f>'[1]BOA VISTA'!P59</f>
        <v>353.44444444444446</v>
      </c>
      <c r="G12" s="1">
        <f>'[1]BOA VISTA'!S59</f>
        <v>190.11627906976744</v>
      </c>
      <c r="H12" s="1">
        <f>'[1]BOA VISTA'!V59</f>
        <v>282.79487179487177</v>
      </c>
      <c r="I12" s="1">
        <f>'[1]BOA VISTA'!Y59</f>
        <v>246.3095238095238</v>
      </c>
      <c r="J12" s="1">
        <f>'[1]BOA VISTA'!AB59</f>
        <v>308.51162790697674</v>
      </c>
      <c r="K12" s="1">
        <f>'[1]BOA VISTA'!AE59</f>
        <v>163.27272727272728</v>
      </c>
      <c r="L12" s="1">
        <f>'[1]BOA VISTA'!AH59</f>
        <v>272.93181818181819</v>
      </c>
      <c r="M12" s="1">
        <f>'[1]BOA VISTA'!AK59</f>
        <v>366.7906976744186</v>
      </c>
      <c r="N12" s="1">
        <f>'[1]BOA VISTA'!AN59</f>
        <v>327.67441860465118</v>
      </c>
      <c r="O12" s="1">
        <f>'[1]BOA VISTA'!AQ59</f>
        <v>228.72727272727272</v>
      </c>
      <c r="P12" s="1">
        <f>'[1]BOA VISTA'!AT59</f>
        <v>203.11904761904762</v>
      </c>
      <c r="Q12" s="1">
        <f>'[1]BOA VISTA'!AW59</f>
        <v>280.95555555555558</v>
      </c>
      <c r="R12" s="1">
        <f>'[1]BOA VISTA'!AZ59</f>
        <v>219.26666666666668</v>
      </c>
      <c r="S12" s="1">
        <f>'[1]BOA VISTA'!BC59</f>
        <v>267.95238095238096</v>
      </c>
      <c r="T12" s="1">
        <f>'[1]BOA VISTA'!BF59</f>
        <v>222.20454545454547</v>
      </c>
      <c r="U12" s="1">
        <f>'[1]BOA VISTA'!BI59</f>
        <v>214.5952380952381</v>
      </c>
      <c r="V12" s="1" t="e">
        <f>'[1]BOA VISTA'!BL59</f>
        <v>#DIV/0!</v>
      </c>
      <c r="W12" s="1" t="e">
        <f>'[1]BOA VISTA'!BO59</f>
        <v>#DIV/0!</v>
      </c>
      <c r="X12" s="1" t="e">
        <f>'[1]BOA VISTA'!BR59</f>
        <v>#DIV/0!</v>
      </c>
      <c r="Y12" s="1" t="e">
        <f>'[1]BOA VISTA'!BU59</f>
        <v>#DIV/0!</v>
      </c>
      <c r="Z12" s="1" t="e">
        <f>'[1]BOA VISTA'!BX59</f>
        <v>#DIV/0!</v>
      </c>
      <c r="AA12" s="1" t="e">
        <f>'[1]BOA VISTA'!CA59</f>
        <v>#DIV/0!</v>
      </c>
      <c r="AB12" s="1" t="e">
        <f>'[1]BOA VISTA'!CD59</f>
        <v>#DIV/0!</v>
      </c>
      <c r="AC12">
        <f>'[1]BOA VISTA'!B63</f>
        <v>4</v>
      </c>
      <c r="AD12">
        <f>'[1]BOA VISTA'!B64</f>
        <v>14</v>
      </c>
      <c r="AE12">
        <f>'[1]BOA VISTA'!B65</f>
        <v>1</v>
      </c>
      <c r="AF12">
        <f>'[1]BOA VISTA'!B66</f>
        <v>0</v>
      </c>
      <c r="AG12">
        <f>'[1]BOA VISTA'!B67</f>
        <v>7</v>
      </c>
      <c r="AH12">
        <f>'[1]BOA VISTA'!$B$69</f>
        <v>45</v>
      </c>
      <c r="AI12">
        <f>'[1]BOA VISTA'!$B$70</f>
        <v>213305</v>
      </c>
    </row>
    <row r="13" spans="1:35" x14ac:dyDescent="0.25">
      <c r="A13" t="s">
        <v>55</v>
      </c>
      <c r="B13" t="s">
        <v>18</v>
      </c>
      <c r="C13" s="1">
        <f>[2]ROSARINHO!$H$21</f>
        <v>221.14285714285714</v>
      </c>
      <c r="D13" s="1">
        <f>[2]ROSARINHO!K21</f>
        <v>315.14285714285717</v>
      </c>
      <c r="E13" s="1">
        <f>[2]ROSARINHO!N21</f>
        <v>146.14285714285714</v>
      </c>
      <c r="F13" s="1">
        <f>[2]ROSARINHO!Q21</f>
        <v>217.28571428571428</v>
      </c>
      <c r="G13" s="1">
        <f>[2]ROSARINHO!T21</f>
        <v>298.85714285714283</v>
      </c>
      <c r="H13" s="1">
        <f>[2]ROSARINHO!W21</f>
        <v>199.14285714285714</v>
      </c>
      <c r="I13" s="1">
        <f>[2]ROSARINHO!Z21</f>
        <v>250.14285714285714</v>
      </c>
      <c r="J13" s="1">
        <f>[2]ROSARINHO!AC21</f>
        <v>156.85714285714286</v>
      </c>
      <c r="K13" s="1">
        <f>[2]ROSARINHO!AF21</f>
        <v>160.28571428571428</v>
      </c>
      <c r="L13" s="1">
        <f>[2]ROSARINHO!AI21</f>
        <v>93</v>
      </c>
      <c r="M13" s="1">
        <f>[2]ROSARINHO!AL21</f>
        <v>329.5</v>
      </c>
      <c r="N13" s="1">
        <f>[2]ROSARINHO!AO21</f>
        <v>198.16666666666666</v>
      </c>
      <c r="O13" s="1">
        <f>[2]ROSARINHO!AR21</f>
        <v>236.83333333333334</v>
      </c>
      <c r="P13" s="1">
        <f>[2]ROSARINHO!AU21</f>
        <v>129.14285714285714</v>
      </c>
      <c r="Q13" s="1">
        <f>[2]ROSARINHO!AX21</f>
        <v>196.4</v>
      </c>
      <c r="R13" s="1">
        <f>[2]ROSARINHO!BA21</f>
        <v>178.33333333333334</v>
      </c>
      <c r="S13" s="1">
        <f>[2]ROSARINHO!BD21</f>
        <v>153.42857142857142</v>
      </c>
      <c r="T13" s="1">
        <f>[2]ROSARINHO!BG21</f>
        <v>78.285714285714292</v>
      </c>
      <c r="U13" s="1">
        <f>[2]ROSARINHO!BJ21</f>
        <v>219.57142857142858</v>
      </c>
      <c r="V13" s="1" t="e">
        <f>[2]ROSARINHO!BM21</f>
        <v>#DIV/0!</v>
      </c>
      <c r="W13" s="1" t="e">
        <f>[2]ROSARINHO!BP21</f>
        <v>#DIV/0!</v>
      </c>
      <c r="X13" s="1" t="e">
        <f>[2]ROSARINHO!BS21</f>
        <v>#DIV/0!</v>
      </c>
      <c r="Y13" s="1" t="e">
        <f>[2]ROSARINHO!BV21</f>
        <v>#DIV/0!</v>
      </c>
      <c r="Z13" s="1" t="e">
        <f>[2]ROSARINHO!BY21</f>
        <v>#DIV/0!</v>
      </c>
      <c r="AA13" s="1" t="e">
        <f>[2]ROSARINHO!CB21</f>
        <v>#DIV/0!</v>
      </c>
      <c r="AB13" s="1" t="e">
        <f>[2]ROSARINHO!CE21</f>
        <v>#DIV/0!</v>
      </c>
      <c r="AC13">
        <f>[2]ROSARINHO!B23</f>
        <v>2</v>
      </c>
      <c r="AD13">
        <f>[2]ROSARINHO!B24</f>
        <v>2</v>
      </c>
      <c r="AE13">
        <f>[2]ROSARINHO!B25</f>
        <v>0</v>
      </c>
      <c r="AF13">
        <f>[2]ROSARINHO!B26</f>
        <v>1</v>
      </c>
      <c r="AG13">
        <f>[2]ROSARINHO!B27</f>
        <v>0</v>
      </c>
      <c r="AH13">
        <f>[2]ROSARINHO!$B$29</f>
        <v>7</v>
      </c>
      <c r="AI13">
        <f>[2]ROSARINHO!$B$30</f>
        <v>25108</v>
      </c>
    </row>
    <row r="14" spans="1:35" x14ac:dyDescent="0.25">
      <c r="A14" t="s">
        <v>55</v>
      </c>
      <c r="B14" t="s">
        <v>28</v>
      </c>
      <c r="C14" s="1">
        <f>'[2]LINHA DO TIRO'!H42</f>
        <v>310.67857142857144</v>
      </c>
      <c r="D14" s="1">
        <f>'[2]LINHA DO TIRO'!K42</f>
        <v>291.14285714285717</v>
      </c>
      <c r="E14" s="1">
        <f>'[2]LINHA DO TIRO'!N42</f>
        <v>273.46428571428572</v>
      </c>
      <c r="F14" s="1">
        <f>'[2]LINHA DO TIRO'!Q42</f>
        <v>354.40740740740739</v>
      </c>
      <c r="G14" s="1">
        <f>'[2]LINHA DO TIRO'!T42</f>
        <v>430.48</v>
      </c>
      <c r="H14" s="1">
        <f>'[2]LINHA DO TIRO'!W42</f>
        <v>336.21428571428572</v>
      </c>
      <c r="I14" s="1">
        <f>'[2]LINHA DO TIRO'!Z42</f>
        <v>300.35714285714283</v>
      </c>
      <c r="J14" s="1">
        <f>'[2]LINHA DO TIRO'!AC42</f>
        <v>402.78571428571428</v>
      </c>
      <c r="K14" s="1">
        <f>'[2]LINHA DO TIRO'!AF42</f>
        <v>222.82142857142858</v>
      </c>
      <c r="L14" s="1">
        <f>'[2]LINHA DO TIRO'!AI42</f>
        <v>324</v>
      </c>
      <c r="M14" s="1">
        <f>'[2]LINHA DO TIRO'!AL42</f>
        <v>516.51851851851848</v>
      </c>
      <c r="N14" s="1">
        <f>'[2]LINHA DO TIRO'!AO42</f>
        <v>238.88888888888889</v>
      </c>
      <c r="O14" s="1">
        <f>'[2]LINHA DO TIRO'!AR42</f>
        <v>519</v>
      </c>
      <c r="P14" s="1">
        <f>'[2]LINHA DO TIRO'!AU42</f>
        <v>247.53571428571428</v>
      </c>
      <c r="Q14" s="1">
        <f>'[2]LINHA DO TIRO'!AX42</f>
        <v>374.18518518518516</v>
      </c>
      <c r="R14" s="1">
        <f>'[2]LINHA DO TIRO'!BA42</f>
        <v>432.59259259259261</v>
      </c>
      <c r="S14" s="1">
        <f>'[2]LINHA DO TIRO'!BD42</f>
        <v>373.92857142857144</v>
      </c>
      <c r="T14" s="1">
        <f>'[2]LINHA DO TIRO'!BG42</f>
        <v>161.07142857142858</v>
      </c>
      <c r="U14" s="1">
        <f>'[2]LINHA DO TIRO'!BJ42</f>
        <v>295.10714285714283</v>
      </c>
      <c r="V14" s="1" t="e">
        <f>'[2]LINHA DO TIRO'!BM42</f>
        <v>#DIV/0!</v>
      </c>
      <c r="W14" s="1" t="e">
        <f>'[2]LINHA DO TIRO'!BP42</f>
        <v>#DIV/0!</v>
      </c>
      <c r="X14" s="1" t="e">
        <f>'[2]LINHA DO TIRO'!BS42</f>
        <v>#DIV/0!</v>
      </c>
      <c r="Y14" s="1" t="e">
        <f>'[2]LINHA DO TIRO'!BV42</f>
        <v>#DIV/0!</v>
      </c>
      <c r="Z14" s="1" t="e">
        <f>'[2]LINHA DO TIRO'!BY42</f>
        <v>#DIV/0!</v>
      </c>
      <c r="AA14" s="1" t="e">
        <f>'[2]LINHA DO TIRO'!CB42</f>
        <v>#DIV/0!</v>
      </c>
      <c r="AB14" s="1" t="e">
        <f>'[2]LINHA DO TIRO'!CE42</f>
        <v>#DIV/0!</v>
      </c>
      <c r="AC14">
        <f>'[2]LINHA DO TIRO'!$B$46</f>
        <v>3</v>
      </c>
      <c r="AD14">
        <f>'[2]LINHA DO TIRO'!$B$46</f>
        <v>3</v>
      </c>
      <c r="AE14">
        <f>'[2]LINHA DO TIRO'!$B$46</f>
        <v>3</v>
      </c>
      <c r="AF14">
        <f>'[2]LINHA DO TIRO'!$B$46</f>
        <v>3</v>
      </c>
      <c r="AG14">
        <f>[2]ROSARINHO!$B$27</f>
        <v>0</v>
      </c>
      <c r="AH14">
        <f>'[2]LINHA DO TIRO'!$B$52</f>
        <v>28</v>
      </c>
      <c r="AI14">
        <f>'[2]LINHA DO TIRO'!$B$53</f>
        <v>175099</v>
      </c>
    </row>
    <row r="15" spans="1:35" x14ac:dyDescent="0.25">
      <c r="A15" t="s">
        <v>55</v>
      </c>
      <c r="B15" t="s">
        <v>14</v>
      </c>
      <c r="C15" s="1">
        <f>[2]ENCRUZILHADA!H40</f>
        <v>276.23809523809524</v>
      </c>
      <c r="D15" s="1">
        <f>[2]ENCRUZILHADA!K40</f>
        <v>228.53846153846155</v>
      </c>
      <c r="E15" s="1">
        <f>[2]ENCRUZILHADA!N40</f>
        <v>484.5</v>
      </c>
      <c r="F15" s="1">
        <f>[2]ENCRUZILHADA!Q40</f>
        <v>255.42307692307693</v>
      </c>
      <c r="G15" s="1">
        <f>[2]ENCRUZILHADA!T40</f>
        <v>331.76923076923077</v>
      </c>
      <c r="H15" s="1">
        <f>[2]ENCRUZILHADA!W40</f>
        <v>322</v>
      </c>
      <c r="I15" s="1">
        <f>[2]ENCRUZILHADA!Z40</f>
        <v>203.96</v>
      </c>
      <c r="J15" s="1">
        <f>[2]ENCRUZILHADA!AC40</f>
        <v>271.44</v>
      </c>
      <c r="K15" s="1">
        <f>[2]ENCRUZILHADA!AF40</f>
        <v>254.56</v>
      </c>
      <c r="L15" s="1">
        <f>[2]ENCRUZILHADA!AI40</f>
        <v>281.22727272727275</v>
      </c>
      <c r="M15" s="1">
        <f>[2]ENCRUZILHADA!AL40</f>
        <v>426.22727272727275</v>
      </c>
      <c r="N15" s="1">
        <f>[2]ENCRUZILHADA!AO40</f>
        <v>456</v>
      </c>
      <c r="O15" s="1">
        <f>[2]ENCRUZILHADA!AR40</f>
        <v>343.91666666666669</v>
      </c>
      <c r="P15" s="1">
        <f>[2]ENCRUZILHADA!AU40</f>
        <v>418.56521739130437</v>
      </c>
      <c r="Q15" s="1">
        <f>[2]ENCRUZILHADA!AX40</f>
        <v>337.96</v>
      </c>
      <c r="R15" s="1">
        <f>[2]ENCRUZILHADA!BA40</f>
        <v>327.34615384615387</v>
      </c>
      <c r="S15" s="1">
        <f>[2]ENCRUZILHADA!BD40</f>
        <v>222.68</v>
      </c>
      <c r="T15" s="1">
        <f>[2]ENCRUZILHADA!BG40</f>
        <v>124.29166666666667</v>
      </c>
      <c r="U15" s="1">
        <f>[2]ENCRUZILHADA!BJ40</f>
        <v>146.76190476190476</v>
      </c>
      <c r="V15" s="1" t="e">
        <f>[2]ENCRUZILHADA!BM40</f>
        <v>#DIV/0!</v>
      </c>
      <c r="W15" s="1" t="e">
        <f>[2]ENCRUZILHADA!BP40</f>
        <v>#DIV/0!</v>
      </c>
      <c r="X15" s="1" t="e">
        <f>[2]ENCRUZILHADA!BS40</f>
        <v>#DIV/0!</v>
      </c>
      <c r="Y15" s="1" t="e">
        <f>[2]ENCRUZILHADA!BV40</f>
        <v>#DIV/0!</v>
      </c>
      <c r="Z15" s="1" t="e">
        <f>[2]ENCRUZILHADA!BY40</f>
        <v>#DIV/0!</v>
      </c>
      <c r="AA15" s="1" t="e">
        <f>[2]ENCRUZILHADA!CB40</f>
        <v>#DIV/0!</v>
      </c>
      <c r="AB15" s="1" t="e">
        <f>[2]ENCRUZILHADA!CE40</f>
        <v>#DIV/0!</v>
      </c>
      <c r="AC15">
        <f>[2]ENCRUZILHADA!B43</f>
        <v>17</v>
      </c>
      <c r="AD15">
        <f>[2]ENCRUZILHADA!B44</f>
        <v>8</v>
      </c>
      <c r="AE15">
        <f>[2]ENCRUZILHADA!B45</f>
        <v>2</v>
      </c>
      <c r="AF15">
        <f>[2]ENCRUZILHADA!B46</f>
        <v>0</v>
      </c>
      <c r="AG15">
        <f>[2]ENCRUZILHADA!B47</f>
        <v>10</v>
      </c>
      <c r="AH15">
        <f>[2]ENCRUZILHADA!$B$49</f>
        <v>26</v>
      </c>
      <c r="AI15">
        <f>[2]ENCRUZILHADA!$B$50</f>
        <v>137140</v>
      </c>
    </row>
    <row r="16" spans="1:35" x14ac:dyDescent="0.25">
      <c r="A16" t="s">
        <v>55</v>
      </c>
      <c r="B16" t="s">
        <v>27</v>
      </c>
      <c r="C16" s="1">
        <f>'[2]DOIS UNIDOS'!H82</f>
        <v>173.58333333333334</v>
      </c>
      <c r="D16" s="1">
        <f>'[2]DOIS UNIDOS'!K82</f>
        <v>187.18032786885246</v>
      </c>
      <c r="E16" s="1">
        <f>'[2]DOIS UNIDOS'!N82</f>
        <v>344.625</v>
      </c>
      <c r="F16" s="1">
        <f>'[2]DOIS UNIDOS'!Q82</f>
        <v>343.31147540983608</v>
      </c>
      <c r="G16" s="1">
        <f>'[2]DOIS UNIDOS'!T82</f>
        <v>284.28813559322032</v>
      </c>
      <c r="H16" s="1">
        <f>'[2]DOIS UNIDOS'!W82</f>
        <v>273.10909090909092</v>
      </c>
      <c r="I16" s="1">
        <f>'[2]DOIS UNIDOS'!Z82</f>
        <v>312.21311475409834</v>
      </c>
      <c r="J16" s="1">
        <f>'[2]DOIS UNIDOS'!AC82</f>
        <v>229.57142857142858</v>
      </c>
      <c r="K16" s="1">
        <f>'[2]DOIS UNIDOS'!AF82</f>
        <v>166.515625</v>
      </c>
      <c r="L16" s="1">
        <f>'[2]DOIS UNIDOS'!AI82</f>
        <v>349.19354838709677</v>
      </c>
      <c r="M16" s="1">
        <f>'[2]DOIS UNIDOS'!AL82</f>
        <v>303.82089552238807</v>
      </c>
      <c r="N16" s="1">
        <f>'[2]DOIS UNIDOS'!AO82</f>
        <v>242.0625</v>
      </c>
      <c r="O16" s="1">
        <f>'[2]DOIS UNIDOS'!AR82</f>
        <v>272.30158730158729</v>
      </c>
      <c r="P16" s="1">
        <f>'[2]DOIS UNIDOS'!AU82</f>
        <v>206.90625</v>
      </c>
      <c r="Q16" s="1">
        <f>'[2]DOIS UNIDOS'!AX82</f>
        <v>293.74193548387098</v>
      </c>
      <c r="R16" s="1">
        <f>'[2]DOIS UNIDOS'!BA82</f>
        <v>214.56923076923076</v>
      </c>
      <c r="S16" s="1">
        <f>'[2]DOIS UNIDOS'!BD82</f>
        <v>193.23076923076923</v>
      </c>
      <c r="T16" s="1">
        <f>'[2]DOIS UNIDOS'!BG82</f>
        <v>216.50769230769231</v>
      </c>
      <c r="U16" s="1">
        <f>'[2]DOIS UNIDOS'!BJ82</f>
        <v>243.87878787878788</v>
      </c>
      <c r="V16" s="1" t="e">
        <f>'[2]DOIS UNIDOS'!BM82</f>
        <v>#DIV/0!</v>
      </c>
      <c r="W16" s="1" t="e">
        <f>'[2]DOIS UNIDOS'!BP82</f>
        <v>#DIV/0!</v>
      </c>
      <c r="X16" s="1" t="e">
        <f>'[2]DOIS UNIDOS'!BS82</f>
        <v>#DIV/0!</v>
      </c>
      <c r="Y16" s="1" t="e">
        <f>'[2]DOIS UNIDOS'!BV82</f>
        <v>#DIV/0!</v>
      </c>
      <c r="Z16" s="1" t="e">
        <f>'[2]DOIS UNIDOS'!BY82</f>
        <v>#DIV/0!</v>
      </c>
      <c r="AA16" s="1" t="e">
        <f>'[2]DOIS UNIDOS'!CB82</f>
        <v>#DIV/0!</v>
      </c>
      <c r="AB16" s="1" t="e">
        <f>'[2]DOIS UNIDOS'!CE82</f>
        <v>#DIV/0!</v>
      </c>
      <c r="AC16">
        <f>'[2]DOIS UNIDOS'!B86</f>
        <v>64</v>
      </c>
      <c r="AD16">
        <f>'[2]DOIS UNIDOS'!B87</f>
        <v>31</v>
      </c>
      <c r="AE16">
        <f>'[2]DOIS UNIDOS'!B88</f>
        <v>0</v>
      </c>
      <c r="AF16">
        <f>'[2]DOIS UNIDOS'!B89</f>
        <v>0</v>
      </c>
      <c r="AG16">
        <f>'[2]DOIS UNIDOS'!B90</f>
        <v>49</v>
      </c>
      <c r="AH16">
        <f>'[2]DOIS UNIDOS'!$B$92</f>
        <v>68</v>
      </c>
      <c r="AI16">
        <f>'[2]DOIS UNIDOS'!$B$93</f>
        <v>300816</v>
      </c>
    </row>
    <row r="17" spans="1:35" x14ac:dyDescent="0.25">
      <c r="A17" t="s">
        <v>55</v>
      </c>
      <c r="B17" t="s">
        <v>20</v>
      </c>
      <c r="C17" s="1">
        <f>'[2]ÁGUA FRIA'!H78</f>
        <v>242.20689655172413</v>
      </c>
      <c r="D17" s="1">
        <f>'[2]ÁGUA FRIA'!K78</f>
        <v>211.59322033898306</v>
      </c>
      <c r="E17" s="1">
        <f>'[2]ÁGUA FRIA'!N78</f>
        <v>348.35593220338984</v>
      </c>
      <c r="F17" s="1">
        <f>'[2]ÁGUA FRIA'!Q78</f>
        <v>440.85714285714283</v>
      </c>
      <c r="G17" s="1">
        <f>'[2]ÁGUA FRIA'!T78</f>
        <v>365.90163934426232</v>
      </c>
      <c r="H17" s="1">
        <f>'[2]ÁGUA FRIA'!W78</f>
        <v>309.3</v>
      </c>
      <c r="I17" s="1">
        <f>'[2]ÁGUA FRIA'!Z78</f>
        <v>501.58730158730157</v>
      </c>
      <c r="J17" s="1">
        <f>'[2]ÁGUA FRIA'!AC78</f>
        <v>299</v>
      </c>
      <c r="K17" s="1">
        <f>'[2]ÁGUA FRIA'!AF78</f>
        <v>163.12903225806451</v>
      </c>
      <c r="L17" s="1">
        <f>'[2]ÁGUA FRIA'!AI78</f>
        <v>299.1904761904762</v>
      </c>
      <c r="M17" s="1">
        <f>'[2]ÁGUA FRIA'!AL78</f>
        <v>396.21311475409834</v>
      </c>
      <c r="N17" s="1">
        <f>'[2]ÁGUA FRIA'!AO78</f>
        <v>291.32758620689657</v>
      </c>
      <c r="O17" s="1">
        <f>'[2]ÁGUA FRIA'!AR78</f>
        <v>460.08333333333331</v>
      </c>
      <c r="P17" s="1">
        <f>'[2]ÁGUA FRIA'!AU78</f>
        <v>316.328125</v>
      </c>
      <c r="Q17" s="1">
        <f>'[2]ÁGUA FRIA'!AX78</f>
        <v>386.74193548387098</v>
      </c>
      <c r="R17" s="1">
        <f>'[2]ÁGUA FRIA'!BA78</f>
        <v>348.87931034482756</v>
      </c>
      <c r="S17" s="1">
        <f>'[2]ÁGUA FRIA'!BD78</f>
        <v>381.6</v>
      </c>
      <c r="T17" s="1">
        <f>'[2]ÁGUA FRIA'!BG78</f>
        <v>384.55</v>
      </c>
      <c r="U17" s="1">
        <f>'[2]ÁGUA FRIA'!BJ78</f>
        <v>257.29824561403507</v>
      </c>
      <c r="V17" s="1" t="e">
        <f>'[2]ÁGUA FRIA'!BM78</f>
        <v>#DIV/0!</v>
      </c>
      <c r="W17" s="1" t="e">
        <f>'[2]ÁGUA FRIA'!BP78</f>
        <v>#DIV/0!</v>
      </c>
      <c r="X17" s="1" t="e">
        <f>'[2]ÁGUA FRIA'!BS78</f>
        <v>#DIV/0!</v>
      </c>
      <c r="Y17" s="1" t="e">
        <f>'[2]ÁGUA FRIA'!BV78</f>
        <v>#DIV/0!</v>
      </c>
      <c r="Z17" s="1" t="e">
        <f>'[2]ÁGUA FRIA'!BY78</f>
        <v>#DIV/0!</v>
      </c>
      <c r="AA17" s="1" t="e">
        <f>'[2]ÁGUA FRIA'!CB78</f>
        <v>#DIV/0!</v>
      </c>
      <c r="AB17" s="1" t="e">
        <f>'[2]ÁGUA FRIA'!CE78</f>
        <v>#DIV/0!</v>
      </c>
      <c r="AC17">
        <f>'[2]ÁGUA FRIA'!B82</f>
        <v>33</v>
      </c>
      <c r="AD17">
        <f>'[2]ÁGUA FRIA'!B83</f>
        <v>30</v>
      </c>
      <c r="AE17">
        <f>'[2]ÁGUA FRIA'!B84</f>
        <v>0</v>
      </c>
      <c r="AF17">
        <f>'[2]ÁGUA FRIA'!B85</f>
        <v>0</v>
      </c>
      <c r="AG17">
        <f>'[2]ÁGUA FRIA'!B86</f>
        <v>30</v>
      </c>
      <c r="AH17">
        <f>'[2]ÁGUA FRIA'!$B$88</f>
        <v>64</v>
      </c>
      <c r="AI17">
        <f>'[2]ÁGUA FRIA'!$B$89</f>
        <v>387107</v>
      </c>
    </row>
    <row r="18" spans="1:35" x14ac:dyDescent="0.25">
      <c r="A18" t="s">
        <v>55</v>
      </c>
      <c r="B18" t="s">
        <v>23</v>
      </c>
      <c r="C18" s="1">
        <f>[2]CAJUEIRO!H31</f>
        <v>119.76470588235294</v>
      </c>
      <c r="D18" s="1">
        <f>[2]CAJUEIRO!K31</f>
        <v>126.26666666666667</v>
      </c>
      <c r="E18" s="1">
        <f>[2]CAJUEIRO!N31</f>
        <v>270.70588235294116</v>
      </c>
      <c r="F18" s="1">
        <f>[2]CAJUEIRO!Q31</f>
        <v>469.9375</v>
      </c>
      <c r="G18" s="1">
        <f>[2]CAJUEIRO!T31</f>
        <v>191.88235294117646</v>
      </c>
      <c r="H18" s="1">
        <f>[2]CAJUEIRO!W31</f>
        <v>199.9375</v>
      </c>
      <c r="I18" s="1">
        <f>[2]CAJUEIRO!Z31</f>
        <v>291.875</v>
      </c>
      <c r="J18" s="1">
        <f>[2]CAJUEIRO!AC31</f>
        <v>458.93333333333334</v>
      </c>
      <c r="K18" s="1">
        <f>[2]CAJUEIRO!AF31</f>
        <v>143.4</v>
      </c>
      <c r="L18" s="1">
        <f>[2]CAJUEIRO!AI31</f>
        <v>562.23529411764707</v>
      </c>
      <c r="M18" s="1">
        <f>[2]CAJUEIRO!AL31</f>
        <v>421.93333333333334</v>
      </c>
      <c r="N18" s="1">
        <f>[2]CAJUEIRO!AO31</f>
        <v>294.1875</v>
      </c>
      <c r="O18" s="1">
        <f>[2]CAJUEIRO!AR31</f>
        <v>304.35294117647061</v>
      </c>
      <c r="P18" s="1">
        <f>[2]CAJUEIRO!AU31</f>
        <v>312.29411764705884</v>
      </c>
      <c r="Q18" s="1">
        <f>[2]CAJUEIRO!AX31</f>
        <v>273.35294117647061</v>
      </c>
      <c r="R18" s="1">
        <f>[2]CAJUEIRO!BA31</f>
        <v>236.05882352941177</v>
      </c>
      <c r="S18" s="1">
        <f>[2]CAJUEIRO!BD31</f>
        <v>215.66666666666666</v>
      </c>
      <c r="T18" s="1">
        <f>[2]CAJUEIRO!BG31</f>
        <v>249.6875</v>
      </c>
      <c r="U18" s="1">
        <f>[2]CAJUEIRO!BJ31</f>
        <v>251.5625</v>
      </c>
      <c r="V18" s="1" t="e">
        <f>[2]CAJUEIRO!BM31</f>
        <v>#DIV/0!</v>
      </c>
      <c r="W18" s="1" t="e">
        <f>[2]CAJUEIRO!BP31</f>
        <v>#DIV/0!</v>
      </c>
      <c r="X18" s="1" t="e">
        <f>[2]CAJUEIRO!BS31</f>
        <v>#DIV/0!</v>
      </c>
      <c r="Y18" s="1" t="e">
        <f>[2]CAJUEIRO!BV31</f>
        <v>#DIV/0!</v>
      </c>
      <c r="Z18" s="1" t="e">
        <f>[2]CAJUEIRO!BY31</f>
        <v>#DIV/0!</v>
      </c>
      <c r="AA18" s="1" t="e">
        <f>[2]CAJUEIRO!CB31</f>
        <v>#DIV/0!</v>
      </c>
      <c r="AB18" s="1" t="e">
        <f>[2]CAJUEIRO!CE31</f>
        <v>#DIV/0!</v>
      </c>
      <c r="AC18">
        <f>[2]CAJUEIRO!B34</f>
        <v>6</v>
      </c>
      <c r="AD18">
        <f>[2]CAJUEIRO!B35</f>
        <v>8</v>
      </c>
      <c r="AE18">
        <f>[2]CAJUEIRO!B36</f>
        <v>1</v>
      </c>
      <c r="AF18">
        <f>[2]CAJUEIRO!B37</f>
        <v>0</v>
      </c>
      <c r="AG18">
        <f>[2]CAJUEIRO!B38</f>
        <v>8</v>
      </c>
      <c r="AH18">
        <f>[2]CAJUEIRO!$B$40</f>
        <v>17</v>
      </c>
      <c r="AI18">
        <f>[2]CAJUEIRO!$B$41</f>
        <v>87209</v>
      </c>
    </row>
    <row r="19" spans="1:35" x14ac:dyDescent="0.25">
      <c r="A19" t="s">
        <v>55</v>
      </c>
      <c r="B19" t="s">
        <v>26</v>
      </c>
      <c r="C19" s="1">
        <f>[2]BEBERIBE!H31</f>
        <v>418.64705882352939</v>
      </c>
      <c r="D19" s="1">
        <f>[2]BEBERIBE!K31</f>
        <v>242.94117647058823</v>
      </c>
      <c r="E19" s="1">
        <f>[2]BEBERIBE!N31</f>
        <v>319.70588235294116</v>
      </c>
      <c r="F19" s="1">
        <f>[2]BEBERIBE!Q31</f>
        <v>300.11764705882354</v>
      </c>
      <c r="G19" s="1">
        <f>[2]BEBERIBE!T31</f>
        <v>330.47058823529414</v>
      </c>
      <c r="H19" s="1">
        <f>[2]BEBERIBE!W31</f>
        <v>218.29411764705881</v>
      </c>
      <c r="I19" s="1">
        <f>[2]BEBERIBE!Z31</f>
        <v>569.35294117647061</v>
      </c>
      <c r="J19" s="1">
        <f>[2]BEBERIBE!AC31</f>
        <v>373.76470588235293</v>
      </c>
      <c r="K19" s="1">
        <f>[2]BEBERIBE!AF31</f>
        <v>127.25</v>
      </c>
      <c r="L19" s="1">
        <f>[2]BEBERIBE!AI31</f>
        <v>156.58823529411765</v>
      </c>
      <c r="M19" s="1">
        <f>[2]BEBERIBE!AL31</f>
        <v>197.29411764705881</v>
      </c>
      <c r="N19" s="1">
        <f>[2]BEBERIBE!AO31</f>
        <v>413.29411764705884</v>
      </c>
      <c r="O19" s="1">
        <f>[2]BEBERIBE!AR31</f>
        <v>315.8235294117647</v>
      </c>
      <c r="P19" s="1">
        <f>[2]BEBERIBE!AU31</f>
        <v>339.5625</v>
      </c>
      <c r="Q19" s="1">
        <f>[2]BEBERIBE!AX31</f>
        <v>350.47058823529414</v>
      </c>
      <c r="R19" s="1">
        <f>[2]BEBERIBE!BA31</f>
        <v>312.52941176470586</v>
      </c>
      <c r="S19" s="1">
        <f>[2]BEBERIBE!BD31</f>
        <v>281.23529411764707</v>
      </c>
      <c r="T19" s="1">
        <f>[2]BEBERIBE!BG31</f>
        <v>283.41176470588238</v>
      </c>
      <c r="U19" s="1">
        <f>[2]BEBERIBE!BJ31</f>
        <v>179</v>
      </c>
      <c r="V19" s="1" t="e">
        <f>[2]BEBERIBE!BM31</f>
        <v>#DIV/0!</v>
      </c>
      <c r="W19" s="1" t="e">
        <f>[2]BEBERIBE!BP31</f>
        <v>#DIV/0!</v>
      </c>
      <c r="X19" s="1" t="e">
        <f>[2]BEBERIBE!BS31</f>
        <v>#DIV/0!</v>
      </c>
      <c r="Y19" s="1" t="e">
        <f>[2]BEBERIBE!BV31</f>
        <v>#DIV/0!</v>
      </c>
      <c r="Z19" s="1" t="e">
        <f>[2]BEBERIBE!BY31</f>
        <v>#DIV/0!</v>
      </c>
      <c r="AA19" s="1" t="e">
        <f>[2]BEBERIBE!CB31</f>
        <v>#DIV/0!</v>
      </c>
      <c r="AB19" s="1" t="e">
        <f>[2]BEBERIBE!CE31</f>
        <v>#DIV/0!</v>
      </c>
      <c r="AC19">
        <f>[2]BEBERIBE!B34</f>
        <v>0</v>
      </c>
      <c r="AD19">
        <f>[2]BEBERIBE!B35</f>
        <v>2</v>
      </c>
      <c r="AE19">
        <f>[2]BEBERIBE!B36</f>
        <v>0</v>
      </c>
      <c r="AF19">
        <f>[2]BEBERIBE!B37</f>
        <v>0</v>
      </c>
      <c r="AG19">
        <f>[2]BEBERIBE!B38</f>
        <v>1</v>
      </c>
      <c r="AH19">
        <f>[2]BEBERIBE!$B$40</f>
        <v>17</v>
      </c>
      <c r="AI19">
        <f>[2]BEBERIBE!$B$41</f>
        <v>96939</v>
      </c>
    </row>
    <row r="20" spans="1:35" x14ac:dyDescent="0.25">
      <c r="A20" t="s">
        <v>55</v>
      </c>
      <c r="B20" t="s">
        <v>25</v>
      </c>
      <c r="C20" s="1">
        <f>'[2]PORTO DA MADEIRA'!H27</f>
        <v>245.75</v>
      </c>
      <c r="D20" s="1">
        <f>'[2]PORTO DA MADEIRA'!K27</f>
        <v>218.6</v>
      </c>
      <c r="E20" s="1">
        <f>'[2]PORTO DA MADEIRA'!N27</f>
        <v>372.69230769230768</v>
      </c>
      <c r="F20" s="1">
        <f>'[2]PORTO DA MADEIRA'!Q27</f>
        <v>417.53846153846155</v>
      </c>
      <c r="G20" s="1">
        <f>'[2]PORTO DA MADEIRA'!T27</f>
        <v>304.83333333333331</v>
      </c>
      <c r="H20" s="1">
        <f>'[2]PORTO DA MADEIRA'!W27</f>
        <v>378.25</v>
      </c>
      <c r="I20" s="1">
        <f>'[2]PORTO DA MADEIRA'!Z27</f>
        <v>174.83333333333334</v>
      </c>
      <c r="J20" s="1">
        <f>'[2]PORTO DA MADEIRA'!AC27</f>
        <v>219.69230769230768</v>
      </c>
      <c r="K20" s="1">
        <f>'[2]PORTO DA MADEIRA'!AF27</f>
        <v>194.76923076923077</v>
      </c>
      <c r="L20" s="1">
        <f>'[2]PORTO DA MADEIRA'!AI27</f>
        <v>276.8</v>
      </c>
      <c r="M20" s="1">
        <f>'[2]PORTO DA MADEIRA'!AL27</f>
        <v>274.90909090909093</v>
      </c>
      <c r="N20" s="1">
        <f>'[2]PORTO DA MADEIRA'!AO27</f>
        <v>174.25</v>
      </c>
      <c r="O20" s="1">
        <f>'[2]PORTO DA MADEIRA'!AR27</f>
        <v>200.23076923076923</v>
      </c>
      <c r="P20" s="1">
        <f>'[2]PORTO DA MADEIRA'!AU27</f>
        <v>164.38461538461539</v>
      </c>
      <c r="Q20" s="1">
        <f>'[2]PORTO DA MADEIRA'!AX27</f>
        <v>238.69230769230768</v>
      </c>
      <c r="R20" s="1">
        <f>'[2]PORTO DA MADEIRA'!BA27</f>
        <v>234.61538461538461</v>
      </c>
      <c r="S20" s="1">
        <f>'[2]PORTO DA MADEIRA'!BD27</f>
        <v>243.83333333333334</v>
      </c>
      <c r="T20" s="1">
        <f>'[2]PORTO DA MADEIRA'!BG27</f>
        <v>395.76923076923077</v>
      </c>
      <c r="U20" s="1">
        <f>'[2]PORTO DA MADEIRA'!BJ27</f>
        <v>178.5</v>
      </c>
      <c r="V20" s="1" t="e">
        <f>'[2]PORTO DA MADEIRA'!BM27</f>
        <v>#DIV/0!</v>
      </c>
      <c r="W20" s="1" t="e">
        <f>'[2]PORTO DA MADEIRA'!BP27</f>
        <v>#DIV/0!</v>
      </c>
      <c r="X20" s="1" t="e">
        <f>'[2]PORTO DA MADEIRA'!BS27</f>
        <v>#DIV/0!</v>
      </c>
      <c r="Y20" s="1" t="e">
        <f>'[2]PORTO DA MADEIRA'!BV27</f>
        <v>#DIV/0!</v>
      </c>
      <c r="Z20" s="1" t="e">
        <f>'[2]PORTO DA MADEIRA'!BY27</f>
        <v>#DIV/0!</v>
      </c>
      <c r="AA20" s="1" t="e">
        <f>'[2]PORTO DA MADEIRA'!CB27</f>
        <v>#DIV/0!</v>
      </c>
      <c r="AB20" s="1" t="e">
        <f>'[2]PORTO DA MADEIRA'!CE27</f>
        <v>#DIV/0!</v>
      </c>
      <c r="AC20">
        <f>'[2]PORTO DA MADEIRA'!B30</f>
        <v>8</v>
      </c>
      <c r="AD20">
        <f>'[2]PORTO DA MADEIRA'!B31</f>
        <v>6</v>
      </c>
      <c r="AE20">
        <f>'[2]PORTO DA MADEIRA'!B32</f>
        <v>0</v>
      </c>
      <c r="AF20">
        <f>'[2]PORTO DA MADEIRA'!B33</f>
        <v>0</v>
      </c>
      <c r="AG20">
        <f>'[2]PORTO DA MADEIRA'!B34</f>
        <v>3</v>
      </c>
      <c r="AH20">
        <f>'[2]PORTO DA MADEIRA'!$B$36</f>
        <v>13</v>
      </c>
      <c r="AI20">
        <f>'[2]PORTO DA MADEIRA'!$B$37</f>
        <v>60080</v>
      </c>
    </row>
    <row r="21" spans="1:35" x14ac:dyDescent="0.25">
      <c r="A21" t="s">
        <v>55</v>
      </c>
      <c r="B21" t="s">
        <v>24</v>
      </c>
      <c r="C21" s="1">
        <f>[2]FUNDÃO!H30</f>
        <v>163.4375</v>
      </c>
      <c r="D21" s="1">
        <f>[2]FUNDÃO!K30</f>
        <v>220.1875</v>
      </c>
      <c r="E21" s="1">
        <f>[2]FUNDÃO!N30</f>
        <v>457.4375</v>
      </c>
      <c r="F21" s="1">
        <f>[2]FUNDÃO!Q30</f>
        <v>283.39999999999998</v>
      </c>
      <c r="G21" s="1">
        <f>[2]FUNDÃO!T30</f>
        <v>203.2</v>
      </c>
      <c r="H21" s="1">
        <f>[2]FUNDÃO!W30</f>
        <v>226.375</v>
      </c>
      <c r="I21" s="1">
        <f>[2]FUNDÃO!Z30</f>
        <v>537.8125</v>
      </c>
      <c r="J21" s="1">
        <f>[2]FUNDÃO!AC30</f>
        <v>262.9375</v>
      </c>
      <c r="K21" s="1">
        <f>[2]FUNDÃO!AF30</f>
        <v>134.5</v>
      </c>
      <c r="L21" s="1">
        <f>[2]FUNDÃO!AI30</f>
        <v>367</v>
      </c>
      <c r="M21" s="1">
        <f>[2]FUNDÃO!AL30</f>
        <v>434.5</v>
      </c>
      <c r="N21" s="1">
        <f>[2]FUNDÃO!AO30</f>
        <v>269.625</v>
      </c>
      <c r="O21" s="1">
        <f>[2]FUNDÃO!AR30</f>
        <v>292.3125</v>
      </c>
      <c r="P21" s="1">
        <f>[2]FUNDÃO!AU30</f>
        <v>277.46666666666664</v>
      </c>
      <c r="Q21" s="1">
        <f>[2]FUNDÃO!AX30</f>
        <v>196.625</v>
      </c>
      <c r="R21" s="1">
        <f>[2]FUNDÃO!BA30</f>
        <v>281.9375</v>
      </c>
      <c r="S21" s="1">
        <f>[2]FUNDÃO!BD30</f>
        <v>244.4375</v>
      </c>
      <c r="T21" s="1">
        <f>[2]FUNDÃO!BG30</f>
        <v>306.75</v>
      </c>
      <c r="U21" s="1">
        <f>[2]FUNDÃO!BJ30</f>
        <v>166.3125</v>
      </c>
      <c r="V21" s="1" t="e">
        <f>[2]FUNDÃO!BM30</f>
        <v>#DIV/0!</v>
      </c>
      <c r="W21" s="1" t="e">
        <f>[2]FUNDÃO!BP30</f>
        <v>#DIV/0!</v>
      </c>
      <c r="X21" s="1" t="e">
        <f>[2]FUNDÃO!BS30</f>
        <v>#DIV/0!</v>
      </c>
      <c r="Y21" s="1" t="e">
        <f>[2]FUNDÃO!BV30</f>
        <v>#DIV/0!</v>
      </c>
      <c r="Z21" s="1" t="e">
        <f>[2]FUNDÃO!BY30</f>
        <v>#DIV/0!</v>
      </c>
      <c r="AA21" s="1" t="e">
        <f>[2]FUNDÃO!CB30</f>
        <v>#DIV/0!</v>
      </c>
      <c r="AB21" s="1" t="e">
        <f>[2]FUNDÃO!CE30</f>
        <v>#DIV/0!</v>
      </c>
      <c r="AC21">
        <f>[2]FUNDÃO!B33</f>
        <v>1</v>
      </c>
      <c r="AD21">
        <f>[2]FUNDÃO!B34</f>
        <v>2</v>
      </c>
      <c r="AE21">
        <f>[2]FUNDÃO!B35</f>
        <v>0</v>
      </c>
      <c r="AF21">
        <f>[2]FUNDÃO!B36</f>
        <v>0</v>
      </c>
      <c r="AG21">
        <f>[2]FUNDÃO!B37</f>
        <v>2</v>
      </c>
      <c r="AH21">
        <f>[2]FUNDÃO!$B$39</f>
        <v>16</v>
      </c>
      <c r="AI21">
        <f>[2]FUNDÃO!$B$40</f>
        <v>84456</v>
      </c>
    </row>
    <row r="22" spans="1:35" x14ac:dyDescent="0.25">
      <c r="A22" t="s">
        <v>55</v>
      </c>
      <c r="B22" t="s">
        <v>15</v>
      </c>
      <c r="C22" s="1">
        <f>[2]HIPODROMO!H23</f>
        <v>164.44444444444446</v>
      </c>
      <c r="D22" s="1">
        <f>[2]HIPODROMO!K23</f>
        <v>212.75</v>
      </c>
      <c r="E22" s="1">
        <f>[2]HIPODROMO!N23</f>
        <v>241.375</v>
      </c>
      <c r="F22" s="1">
        <f>[2]HIPODROMO!Q23</f>
        <v>309.55555555555554</v>
      </c>
      <c r="G22" s="1">
        <f>[2]HIPODROMO!T23</f>
        <v>176.55555555555554</v>
      </c>
      <c r="H22" s="1">
        <f>[2]HIPODROMO!W23</f>
        <v>225.11111111111111</v>
      </c>
      <c r="I22" s="1">
        <f>[2]HIPODROMO!Z23</f>
        <v>153.44444444444446</v>
      </c>
      <c r="J22" s="1">
        <f>[2]HIPODROMO!AC23</f>
        <v>163.625</v>
      </c>
      <c r="K22" s="1">
        <f>[2]HIPODROMO!AF23</f>
        <v>240.22222222222223</v>
      </c>
      <c r="L22" s="1">
        <f>[2]HIPODROMO!AI23</f>
        <v>238.55555555555554</v>
      </c>
      <c r="M22" s="1">
        <f>[2]HIPODROMO!AL23</f>
        <v>362.88888888888891</v>
      </c>
      <c r="N22" s="1">
        <f>[2]HIPODROMO!AO23</f>
        <v>109.33333333333333</v>
      </c>
      <c r="O22" s="1">
        <f>[2]HIPODROMO!AR23</f>
        <v>208.88888888888889</v>
      </c>
      <c r="P22" s="1">
        <f>[2]HIPODROMO!AU23</f>
        <v>187.44444444444446</v>
      </c>
      <c r="Q22" s="1">
        <f>[2]HIPODROMO!AX23</f>
        <v>238</v>
      </c>
      <c r="R22" s="1">
        <f>[2]HIPODROMO!BA23</f>
        <v>193.22222222222223</v>
      </c>
      <c r="S22" s="1">
        <f>[2]HIPODROMO!BD23</f>
        <v>282.44444444444446</v>
      </c>
      <c r="T22" s="1">
        <f>[2]HIPODROMO!BG23</f>
        <v>129.11111111111111</v>
      </c>
      <c r="U22" s="1">
        <f>[2]HIPODROMO!BJ23</f>
        <v>139.33333333333334</v>
      </c>
      <c r="V22" s="1" t="e">
        <f>[2]HIPODROMO!BM23</f>
        <v>#DIV/0!</v>
      </c>
      <c r="W22" s="1" t="e">
        <f>[2]HIPODROMO!BP23</f>
        <v>#DIV/0!</v>
      </c>
      <c r="X22" s="1" t="e">
        <f>[2]HIPODROMO!BS23</f>
        <v>#DIV/0!</v>
      </c>
      <c r="Y22" s="1" t="e">
        <f>[2]HIPODROMO!BV23</f>
        <v>#DIV/0!</v>
      </c>
      <c r="Z22" s="1" t="e">
        <f>[2]HIPODROMO!BY23</f>
        <v>#DIV/0!</v>
      </c>
      <c r="AA22" s="1" t="e">
        <f>[2]HIPODROMO!CB23</f>
        <v>#DIV/0!</v>
      </c>
      <c r="AB22" s="1" t="e">
        <f>[2]HIPODROMO!CE23</f>
        <v>#DIV/0!</v>
      </c>
      <c r="AC22">
        <f>[2]HIPODROMO!B27</f>
        <v>0</v>
      </c>
      <c r="AD22">
        <f>[2]HIPODROMO!B28</f>
        <v>3</v>
      </c>
      <c r="AE22">
        <f>[2]HIPODROMO!B29</f>
        <v>0</v>
      </c>
      <c r="AF22">
        <f>[2]HIPODROMO!B30</f>
        <v>0</v>
      </c>
      <c r="AG22">
        <f>[2]HIPODROMO!B31</f>
        <v>3</v>
      </c>
      <c r="AH22">
        <f>[2]HIPODROMO!$B$33</f>
        <v>9</v>
      </c>
      <c r="AI22">
        <f>[2]HIPODROMO!$B$34</f>
        <v>35169</v>
      </c>
    </row>
    <row r="23" spans="1:35" x14ac:dyDescent="0.25">
      <c r="A23" t="s">
        <v>55</v>
      </c>
      <c r="B23" t="s">
        <v>19</v>
      </c>
      <c r="C23" s="1">
        <f>[2]TORREÃO!H17</f>
        <v>115.33333333333333</v>
      </c>
      <c r="D23" s="1">
        <f>[2]TORREÃO!K17</f>
        <v>159</v>
      </c>
      <c r="E23" s="1">
        <f>[2]TORREÃO!N17</f>
        <v>120.33333333333333</v>
      </c>
      <c r="F23" s="1">
        <f>[2]TORREÃO!Q17</f>
        <v>76</v>
      </c>
      <c r="G23" s="1">
        <f>[2]TORREÃO!T17</f>
        <v>146.66666666666666</v>
      </c>
      <c r="H23" s="1">
        <f>[2]TORREÃO!W17</f>
        <v>219.33333333333334</v>
      </c>
      <c r="I23" s="1">
        <f>[2]TORREÃO!Z17</f>
        <v>91</v>
      </c>
      <c r="J23" s="1">
        <f>[2]TORREÃO!AC17</f>
        <v>83.333333333333329</v>
      </c>
      <c r="K23" s="1">
        <f>[2]TORREÃO!AF17</f>
        <v>202</v>
      </c>
      <c r="L23" s="1">
        <f>[2]TORREÃO!AI17</f>
        <v>93.333333333333329</v>
      </c>
      <c r="M23" s="1">
        <f>[2]TORREÃO!AL17</f>
        <v>142.66666666666666</v>
      </c>
      <c r="N23" s="1">
        <f>[2]TORREÃO!AO17</f>
        <v>281.33333333333331</v>
      </c>
      <c r="O23" s="1">
        <f>[2]TORREÃO!AR17</f>
        <v>213.33333333333334</v>
      </c>
      <c r="P23" s="1">
        <f>[2]TORREÃO!AU17</f>
        <v>291</v>
      </c>
      <c r="Q23" s="1">
        <f>[2]TORREÃO!AX17</f>
        <v>167</v>
      </c>
      <c r="R23" s="1">
        <f>[2]TORREÃO!BA17</f>
        <v>49.333333333333336</v>
      </c>
      <c r="S23" s="1">
        <f>[2]TORREÃO!BD17</f>
        <v>157.66666666666666</v>
      </c>
      <c r="T23" s="1">
        <f>[2]TORREÃO!BG17</f>
        <v>107</v>
      </c>
      <c r="U23" s="1">
        <f>[2]TORREÃO!BJ17</f>
        <v>74</v>
      </c>
      <c r="V23" s="1" t="e">
        <f>[2]TORREÃO!BM17</f>
        <v>#DIV/0!</v>
      </c>
      <c r="W23" s="1" t="e">
        <f>[2]TORREÃO!BP17</f>
        <v>#DIV/0!</v>
      </c>
      <c r="X23" s="1" t="e">
        <f>[2]TORREÃO!BS17</f>
        <v>#DIV/0!</v>
      </c>
      <c r="Y23" s="1" t="e">
        <f>[2]TORREÃO!BV17</f>
        <v>#DIV/0!</v>
      </c>
      <c r="Z23" s="1" t="e">
        <f>[2]TORREÃO!BY17</f>
        <v>#DIV/0!</v>
      </c>
      <c r="AA23" s="1" t="e">
        <f>[2]TORREÃO!CB17</f>
        <v>#DIV/0!</v>
      </c>
      <c r="AB23" s="1" t="e">
        <f>[2]TORREÃO!CE17</f>
        <v>#DIV/0!</v>
      </c>
      <c r="AC23">
        <f>[2]TORREÃO!B20</f>
        <v>0</v>
      </c>
      <c r="AD23">
        <f>[2]TORREÃO!B21</f>
        <v>0</v>
      </c>
      <c r="AE23">
        <f>[2]TORREÃO!B22</f>
        <v>0</v>
      </c>
      <c r="AF23">
        <f>[2]TORREÃO!B23</f>
        <v>0</v>
      </c>
      <c r="AG23">
        <f>[2]TORREÃO!B24</f>
        <v>0</v>
      </c>
      <c r="AH23">
        <f>[2]TORREÃO!$B$26</f>
        <v>3</v>
      </c>
      <c r="AI23">
        <f>[2]TORREÃO!$B$27</f>
        <v>8369</v>
      </c>
    </row>
    <row r="24" spans="1:35" x14ac:dyDescent="0.25">
      <c r="A24" t="s">
        <v>55</v>
      </c>
      <c r="B24" t="s">
        <v>22</v>
      </c>
      <c r="C24" s="1">
        <f>'[2]BOMBA DO HEMETERIO'!H35</f>
        <v>90.78947368421052</v>
      </c>
      <c r="D24" s="1">
        <f>'[2]BOMBA DO HEMETERIO'!K35</f>
        <v>38.9375</v>
      </c>
      <c r="E24" s="1">
        <f>'[2]BOMBA DO HEMETERIO'!N35</f>
        <v>191</v>
      </c>
      <c r="F24" s="1">
        <f>'[2]BOMBA DO HEMETERIO'!Q35</f>
        <v>120.85</v>
      </c>
      <c r="G24" s="1">
        <f>'[2]BOMBA DO HEMETERIO'!T35</f>
        <v>113.95</v>
      </c>
      <c r="H24" s="1">
        <f>'[2]BOMBA DO HEMETERIO'!W35</f>
        <v>144.11111111111111</v>
      </c>
      <c r="I24" s="1">
        <f>'[2]BOMBA DO HEMETERIO'!Z35</f>
        <v>149.6</v>
      </c>
      <c r="J24" s="1">
        <f>'[2]BOMBA DO HEMETERIO'!AC35</f>
        <v>224.35294117647058</v>
      </c>
      <c r="K24" s="1">
        <f>'[2]BOMBA DO HEMETERIO'!AF35</f>
        <v>156.9047619047619</v>
      </c>
      <c r="L24" s="1">
        <f>'[2]BOMBA DO HEMETERIO'!AI35</f>
        <v>280.66666666666669</v>
      </c>
      <c r="M24" s="1">
        <f>'[2]BOMBA DO HEMETERIO'!AL35</f>
        <v>357.6</v>
      </c>
      <c r="N24" s="1">
        <f>'[2]BOMBA DO HEMETERIO'!AO35</f>
        <v>152.76190476190476</v>
      </c>
      <c r="O24" s="1">
        <f>'[2]BOMBA DO HEMETERIO'!AR35</f>
        <v>257.52380952380952</v>
      </c>
      <c r="P24" s="1">
        <f>'[2]BOMBA DO HEMETERIO'!AU35</f>
        <v>196.36842105263159</v>
      </c>
      <c r="Q24" s="1">
        <f>'[2]BOMBA DO HEMETERIO'!AX35</f>
        <v>218.95238095238096</v>
      </c>
      <c r="R24" s="1">
        <f>'[2]BOMBA DO HEMETERIO'!BA35</f>
        <v>139.05882352941177</v>
      </c>
      <c r="S24" s="1">
        <f>'[2]BOMBA DO HEMETERIO'!BD35</f>
        <v>194.05263157894737</v>
      </c>
      <c r="T24" s="1">
        <f>'[2]BOMBA DO HEMETERIO'!BG35</f>
        <v>253</v>
      </c>
      <c r="U24" s="1">
        <f>'[2]BOMBA DO HEMETERIO'!BJ35</f>
        <v>86.705882352941174</v>
      </c>
      <c r="V24" s="1" t="e">
        <f>'[2]BOMBA DO HEMETERIO'!BM35</f>
        <v>#DIV/0!</v>
      </c>
      <c r="W24" s="1" t="e">
        <f>'[2]BOMBA DO HEMETERIO'!BP35</f>
        <v>#DIV/0!</v>
      </c>
      <c r="X24" s="1" t="e">
        <f>'[2]BOMBA DO HEMETERIO'!BS35</f>
        <v>#DIV/0!</v>
      </c>
      <c r="Y24" s="1" t="e">
        <f>'[2]BOMBA DO HEMETERIO'!BV35</f>
        <v>#DIV/0!</v>
      </c>
      <c r="Z24" s="1" t="e">
        <f>'[2]BOMBA DO HEMETERIO'!BY35</f>
        <v>#DIV/0!</v>
      </c>
      <c r="AA24" s="1" t="e">
        <f>'[2]BOMBA DO HEMETERIO'!CB35</f>
        <v>#DIV/0!</v>
      </c>
      <c r="AB24" s="1" t="e">
        <f>'[2]BOMBA DO HEMETERIO'!CE35</f>
        <v>#DIV/0!</v>
      </c>
      <c r="AC24">
        <f>'[2]BOMBA DO HEMETERIO'!B38</f>
        <v>11</v>
      </c>
      <c r="AD24">
        <f>'[2]BOMBA DO HEMETERIO'!B39</f>
        <v>11</v>
      </c>
      <c r="AE24">
        <f>'[2]BOMBA DO HEMETERIO'!B40</f>
        <v>1</v>
      </c>
      <c r="AF24">
        <f>'[2]BOMBA DO HEMETERIO'!B41</f>
        <v>0</v>
      </c>
      <c r="AG24">
        <f>'[2]BOMBA DO HEMETERIO'!B42</f>
        <v>14</v>
      </c>
      <c r="AH24">
        <f>'[2]BOMBA DO HEMETERIO'!$B$44</f>
        <v>21</v>
      </c>
      <c r="AI24">
        <f>'[2]BOMBA DO HEMETERIO'!$B$45</f>
        <v>65629</v>
      </c>
    </row>
    <row r="25" spans="1:35" x14ac:dyDescent="0.25">
      <c r="A25" t="s">
        <v>55</v>
      </c>
      <c r="B25" t="s">
        <v>12</v>
      </c>
      <c r="C25" s="1">
        <f>'[2]CAMPINA DO BARRETO'!H38</f>
        <v>196.54166666666666</v>
      </c>
      <c r="D25" s="1">
        <f>'[2]CAMPINA DO BARRETO'!K38</f>
        <v>203.86956521739131</v>
      </c>
      <c r="E25" s="1">
        <f>'[2]CAMPINA DO BARRETO'!N38</f>
        <v>517.63636363636363</v>
      </c>
      <c r="F25" s="1">
        <f>'[2]CAMPINA DO BARRETO'!Q38</f>
        <v>542.04166666666663</v>
      </c>
      <c r="G25" s="1">
        <f>'[2]CAMPINA DO BARRETO'!T38</f>
        <v>433.1</v>
      </c>
      <c r="H25" s="1">
        <f>'[2]CAMPINA DO BARRETO'!W38</f>
        <v>282.09090909090907</v>
      </c>
      <c r="I25" s="1">
        <f>'[2]CAMPINA DO BARRETO'!Z38</f>
        <v>481.47826086956519</v>
      </c>
      <c r="J25" s="1">
        <f>'[2]CAMPINA DO BARRETO'!AC38</f>
        <v>389.33333333333331</v>
      </c>
      <c r="K25" s="1">
        <f>'[2]CAMPINA DO BARRETO'!AF38</f>
        <v>192.7391304347826</v>
      </c>
      <c r="L25" s="1">
        <f>'[2]CAMPINA DO BARRETO'!AI38</f>
        <v>579.95652173913038</v>
      </c>
      <c r="M25" s="1">
        <f>'[2]CAMPINA DO BARRETO'!AL38</f>
        <v>584.08333333333337</v>
      </c>
      <c r="N25" s="1">
        <f>'[2]CAMPINA DO BARRETO'!AO38</f>
        <v>516.875</v>
      </c>
      <c r="O25" s="1">
        <f>'[2]CAMPINA DO BARRETO'!AR38</f>
        <v>205.36363636363637</v>
      </c>
      <c r="P25" s="1">
        <f>'[2]CAMPINA DO BARRETO'!AU38</f>
        <v>299.41666666666669</v>
      </c>
      <c r="Q25" s="1">
        <f>'[2]CAMPINA DO BARRETO'!AX38</f>
        <v>417.16666666666669</v>
      </c>
      <c r="R25" s="1">
        <f>'[2]CAMPINA DO BARRETO'!BA38</f>
        <v>238.5</v>
      </c>
      <c r="S25" s="1">
        <f>'[2]CAMPINA DO BARRETO'!BD38</f>
        <v>494.95454545454544</v>
      </c>
      <c r="T25" s="1">
        <f>'[2]CAMPINA DO BARRETO'!BG38</f>
        <v>301.23809523809524</v>
      </c>
      <c r="U25" s="1">
        <f>'[2]CAMPINA DO BARRETO'!BJ38</f>
        <v>325.30434782608694</v>
      </c>
      <c r="V25" s="1" t="e">
        <f>'[2]CAMPINA DO BARRETO'!BM38</f>
        <v>#DIV/0!</v>
      </c>
      <c r="W25" s="1" t="e">
        <f>'[2]CAMPINA DO BARRETO'!BP38</f>
        <v>#DIV/0!</v>
      </c>
      <c r="X25" s="1" t="e">
        <f>'[2]CAMPINA DO BARRETO'!BS38</f>
        <v>#DIV/0!</v>
      </c>
      <c r="Y25" s="1" t="e">
        <f>'[2]CAMPINA DO BARRETO'!BV38</f>
        <v>#DIV/0!</v>
      </c>
      <c r="Z25" s="1" t="e">
        <f>'[2]CAMPINA DO BARRETO'!BY38</f>
        <v>#DIV/0!</v>
      </c>
      <c r="AA25" s="1" t="e">
        <f>'[2]CAMPINA DO BARRETO'!CB38</f>
        <v>#DIV/0!</v>
      </c>
      <c r="AB25" s="1" t="e">
        <f>'[2]CAMPINA DO BARRETO'!CE38</f>
        <v>#DIV/0!</v>
      </c>
      <c r="AC25">
        <f>'[2]CAMPINA DO BARRETO'!B42</f>
        <v>14</v>
      </c>
      <c r="AD25">
        <f>'[2]CAMPINA DO BARRETO'!B43</f>
        <v>7</v>
      </c>
      <c r="AE25">
        <f>'[2]CAMPINA DO BARRETO'!B44</f>
        <v>0</v>
      </c>
      <c r="AF25">
        <f>'[2]CAMPINA DO BARRETO'!B45</f>
        <v>0</v>
      </c>
      <c r="AG25">
        <f>'[2]CAMPINA DO BARRETO'!B46</f>
        <v>14</v>
      </c>
      <c r="AH25">
        <f>'[2]CAMPINA DO BARRETO'!$B$48</f>
        <v>24</v>
      </c>
      <c r="AI25">
        <f>'[2]CAMPINA DO BARRETO'!$B$49</f>
        <v>164944</v>
      </c>
    </row>
    <row r="26" spans="1:35" x14ac:dyDescent="0.25">
      <c r="A26" t="s">
        <v>55</v>
      </c>
      <c r="B26" t="s">
        <v>11</v>
      </c>
      <c r="C26" s="1">
        <f>[2]ARRUDA!H36</f>
        <v>165.90909090909091</v>
      </c>
      <c r="D26" s="1">
        <f>[2]ARRUDA!K36</f>
        <v>151.33333333333334</v>
      </c>
      <c r="E26" s="1">
        <f>[2]ARRUDA!N36</f>
        <v>258.47619047619048</v>
      </c>
      <c r="F26" s="1">
        <f>[2]ARRUDA!Q36</f>
        <v>587.04761904761904</v>
      </c>
      <c r="G26" s="1">
        <f>[2]ARRUDA!T36</f>
        <v>364.13636363636363</v>
      </c>
      <c r="H26" s="1">
        <f>[2]ARRUDA!W36</f>
        <v>273.05</v>
      </c>
      <c r="I26" s="1">
        <f>[2]ARRUDA!Z36</f>
        <v>396.14285714285717</v>
      </c>
      <c r="J26" s="1">
        <f>[2]ARRUDA!AC36</f>
        <v>240.63157894736841</v>
      </c>
      <c r="K26" s="1">
        <f>[2]ARRUDA!AF36</f>
        <v>284.66666666666669</v>
      </c>
      <c r="L26" s="1">
        <f>[2]ARRUDA!AI36</f>
        <v>301.95</v>
      </c>
      <c r="M26" s="1">
        <f>[2]ARRUDA!AL36</f>
        <v>399.1</v>
      </c>
      <c r="N26" s="1">
        <f>[2]ARRUDA!AO36</f>
        <v>301.95</v>
      </c>
      <c r="O26" s="1">
        <f>[2]ARRUDA!AR36</f>
        <v>299.36842105263156</v>
      </c>
      <c r="P26" s="1">
        <f>[2]ARRUDA!AU36</f>
        <v>376</v>
      </c>
      <c r="Q26" s="1">
        <f>[2]ARRUDA!AX36</f>
        <v>354.31578947368422</v>
      </c>
      <c r="R26" s="1">
        <f>[2]ARRUDA!BA36</f>
        <v>316.26315789473682</v>
      </c>
      <c r="S26" s="1">
        <f>[2]ARRUDA!BD36</f>
        <v>387.75</v>
      </c>
      <c r="T26" s="1">
        <f>[2]ARRUDA!BG36</f>
        <v>265.14999999999998</v>
      </c>
      <c r="U26" s="1">
        <f>[2]ARRUDA!BJ36</f>
        <v>313.05</v>
      </c>
      <c r="V26" s="1" t="e">
        <f>[2]ARRUDA!BM36</f>
        <v>#DIV/0!</v>
      </c>
      <c r="W26" s="1" t="e">
        <f>[2]ARRUDA!BP36</f>
        <v>#DIV/0!</v>
      </c>
      <c r="X26" s="1" t="e">
        <f>[2]ARRUDA!BS36</f>
        <v>#DIV/0!</v>
      </c>
      <c r="Y26" s="1" t="e">
        <f>[2]ARRUDA!BV36</f>
        <v>#DIV/0!</v>
      </c>
      <c r="Z26" s="1" t="e">
        <f>[2]ARRUDA!BY36</f>
        <v>#DIV/0!</v>
      </c>
      <c r="AA26" s="1" t="e">
        <f>[2]ARRUDA!CB36</f>
        <v>#DIV/0!</v>
      </c>
      <c r="AB26" s="1" t="e">
        <f>[2]ARRUDA!CE36</f>
        <v>#DIV/0!</v>
      </c>
      <c r="AC26">
        <f>[2]ARRUDA!B39</f>
        <v>24</v>
      </c>
      <c r="AD26">
        <f>[2]ARRUDA!B40</f>
        <v>7</v>
      </c>
      <c r="AE26">
        <f>[2]ARRUDA!B41</f>
        <v>0</v>
      </c>
      <c r="AF26">
        <f>[2]ARRUDA!B42</f>
        <v>0</v>
      </c>
      <c r="AG26">
        <f>[2]ARRUDA!B43</f>
        <v>14</v>
      </c>
      <c r="AH26">
        <f>[2]ARRUDA!$B$45</f>
        <v>22</v>
      </c>
      <c r="AI26">
        <f>[2]ARRUDA!$B$46</f>
        <v>122253</v>
      </c>
    </row>
    <row r="27" spans="1:35" x14ac:dyDescent="0.25">
      <c r="A27" t="s">
        <v>55</v>
      </c>
      <c r="B27" t="s">
        <v>17</v>
      </c>
      <c r="C27" s="1">
        <f>'[2]PONTO DE PARADA'!H18</f>
        <v>338.25</v>
      </c>
      <c r="D27" s="1">
        <f>'[2]PONTO DE PARADA'!K18</f>
        <v>209.25</v>
      </c>
      <c r="E27" s="1">
        <f>'[2]PONTO DE PARADA'!N18</f>
        <v>1244.75</v>
      </c>
      <c r="F27" s="1">
        <f>'[2]PONTO DE PARADA'!Q18</f>
        <v>348</v>
      </c>
      <c r="G27" s="1">
        <f>'[2]PONTO DE PARADA'!T18</f>
        <v>186.25</v>
      </c>
      <c r="H27" s="1">
        <f>'[2]PONTO DE PARADA'!W18</f>
        <v>372.75</v>
      </c>
      <c r="I27" s="1">
        <f>'[2]PONTO DE PARADA'!Z18</f>
        <v>323</v>
      </c>
      <c r="J27" s="1">
        <f>'[2]PONTO DE PARADA'!AC18</f>
        <v>418.33333333333331</v>
      </c>
      <c r="K27" s="1">
        <f>'[2]PONTO DE PARADA'!AF18</f>
        <v>291.75</v>
      </c>
      <c r="L27" s="1">
        <f>'[2]PONTO DE PARADA'!$AI$18</f>
        <v>440</v>
      </c>
      <c r="M27" s="1">
        <f>'[2]PONTO DE PARADA'!AL18</f>
        <v>199.66666666666666</v>
      </c>
      <c r="N27" s="1">
        <f>'[2]PONTO DE PARADA'!AO18</f>
        <v>379</v>
      </c>
      <c r="O27" s="1">
        <f>'[2]PONTO DE PARADA'!AR18</f>
        <v>803</v>
      </c>
      <c r="P27" s="1">
        <f>'[2]PONTO DE PARADA'!AU18</f>
        <v>284</v>
      </c>
      <c r="Q27" s="1">
        <f>'[2]PONTO DE PARADA'!AX18</f>
        <v>585.75</v>
      </c>
      <c r="R27" s="1">
        <f>'[2]PONTO DE PARADA'!BA18</f>
        <v>256.25</v>
      </c>
      <c r="S27" s="1">
        <f>'[2]PONTO DE PARADA'!BD18</f>
        <v>284.5</v>
      </c>
      <c r="T27" s="1">
        <f>'[2]PONTO DE PARADA'!BG18</f>
        <v>296</v>
      </c>
      <c r="U27" s="1">
        <f>'[2]PONTO DE PARADA'!BJ18</f>
        <v>221.75</v>
      </c>
      <c r="V27" s="1" t="e">
        <f>'[2]PONTO DE PARADA'!BM18</f>
        <v>#DIV/0!</v>
      </c>
      <c r="W27" s="1" t="e">
        <f>'[2]PONTO DE PARADA'!BP18</f>
        <v>#DIV/0!</v>
      </c>
      <c r="X27" s="1" t="e">
        <f>'[2]PONTO DE PARADA'!BS18</f>
        <v>#DIV/0!</v>
      </c>
      <c r="Y27" s="1" t="e">
        <f>'[2]PONTO DE PARADA'!BV18</f>
        <v>#DIV/0!</v>
      </c>
      <c r="Z27" s="1" t="e">
        <f>'[2]PONTO DE PARADA'!BY18</f>
        <v>#DIV/0!</v>
      </c>
      <c r="AA27" s="1" t="e">
        <f>'[2]PONTO DE PARADA'!CB18</f>
        <v>#DIV/0!</v>
      </c>
      <c r="AB27" s="1" t="e">
        <f>'[2]PONTO DE PARADA'!CE18</f>
        <v>#DIV/0!</v>
      </c>
      <c r="AC27">
        <f>'[2]PONTO DE PARADA'!B21</f>
        <v>1</v>
      </c>
      <c r="AD27">
        <f>'[2]PONTO DE PARADA'!B22</f>
        <v>1</v>
      </c>
      <c r="AE27">
        <f>'[2]PONTO DE PARADA'!B23</f>
        <v>1</v>
      </c>
      <c r="AF27">
        <f>'[2]PONTO DE PARADA'!B24</f>
        <v>0</v>
      </c>
      <c r="AG27">
        <f>'[2]PONTO DE PARADA'!B25</f>
        <v>3</v>
      </c>
      <c r="AH27">
        <f>'[2]PONTO DE PARADA'!$B$27</f>
        <v>4</v>
      </c>
      <c r="AI27">
        <f>'[2]PONTO DE PARADA'!$B$28</f>
        <v>28508</v>
      </c>
    </row>
    <row r="28" spans="1:35" x14ac:dyDescent="0.25">
      <c r="A28" t="s">
        <v>55</v>
      </c>
      <c r="B28" t="s">
        <v>16</v>
      </c>
      <c r="C28" s="1">
        <f>[2]PEIXINHOS!H29</f>
        <v>221.84615384615384</v>
      </c>
      <c r="D28" s="1">
        <f>[2]PEIXINHOS!K29</f>
        <v>192.46666666666667</v>
      </c>
      <c r="E28" s="1">
        <f>[2]PEIXINHOS!N29</f>
        <v>352.5</v>
      </c>
      <c r="F28" s="1">
        <f>[2]PEIXINHOS!Q29</f>
        <v>691.84615384615381</v>
      </c>
      <c r="G28" s="1">
        <f>[2]PEIXINHOS!T29</f>
        <v>329.07142857142856</v>
      </c>
      <c r="H28" s="1">
        <f>[2]PEIXINHOS!W29</f>
        <v>274.73333333333335</v>
      </c>
      <c r="I28" s="1">
        <f>[2]PEIXINHOS!Z29</f>
        <v>395.66666666666669</v>
      </c>
      <c r="J28" s="1">
        <f>[2]PEIXINHOS!AC29</f>
        <v>250.8</v>
      </c>
      <c r="K28" s="1">
        <f>[2]PEIXINHOS!AF29</f>
        <v>266.93333333333334</v>
      </c>
      <c r="L28" s="1">
        <f>[2]PEIXINHOS!AI29</f>
        <v>219.93333333333334</v>
      </c>
      <c r="M28" s="1">
        <f>[2]PEIXINHOS!AL29</f>
        <v>362.93333333333334</v>
      </c>
      <c r="N28" s="1">
        <f>[2]PEIXINHOS!AO29</f>
        <v>330.73333333333335</v>
      </c>
      <c r="O28" s="1">
        <f>[2]PEIXINHOS!AR29</f>
        <v>307.92857142857144</v>
      </c>
      <c r="P28" s="1">
        <f>[2]PEIXINHOS!AU29</f>
        <v>266.14285714285717</v>
      </c>
      <c r="Q28" s="1">
        <f>[2]PEIXINHOS!AX29</f>
        <v>413.64285714285717</v>
      </c>
      <c r="R28" s="1">
        <f>[2]PEIXINHOS!BA29</f>
        <v>239.26666666666668</v>
      </c>
      <c r="S28" s="1">
        <f>[2]PEIXINHOS!BD29</f>
        <v>216.07142857142858</v>
      </c>
      <c r="T28" s="1">
        <f>[2]PEIXINHOS!BG29</f>
        <v>212.14285714285714</v>
      </c>
      <c r="U28" s="1">
        <f>[2]PEIXINHOS!BJ29</f>
        <v>183.33333333333334</v>
      </c>
      <c r="V28" s="1" t="e">
        <f>[2]PEIXINHOS!BM29</f>
        <v>#DIV/0!</v>
      </c>
      <c r="W28" s="1" t="e">
        <f>[2]PEIXINHOS!BP29</f>
        <v>#DIV/0!</v>
      </c>
      <c r="X28" s="1" t="e">
        <f>[2]PEIXINHOS!BS29</f>
        <v>#DIV/0!</v>
      </c>
      <c r="Y28" s="1" t="e">
        <f>[2]PEIXINHOS!BV29</f>
        <v>#DIV/0!</v>
      </c>
      <c r="Z28" s="1" t="e">
        <f>[2]PEIXINHOS!BY29</f>
        <v>#DIV/0!</v>
      </c>
      <c r="AA28" s="1" t="e">
        <f>[2]PEIXINHOS!CB29</f>
        <v>#DIV/0!</v>
      </c>
      <c r="AB28" s="1" t="e">
        <f>[2]PEIXINHOS!CE29</f>
        <v>#DIV/0!</v>
      </c>
      <c r="AC28">
        <f>[2]PEIXINHOS!B32</f>
        <v>8</v>
      </c>
      <c r="AD28">
        <f>[2]PEIXINHOS!B33</f>
        <v>3</v>
      </c>
      <c r="AE28">
        <f>[2]PEIXINHOS!B34</f>
        <v>0</v>
      </c>
      <c r="AF28">
        <f>[2]PEIXINHOS!B35</f>
        <v>0</v>
      </c>
      <c r="AG28">
        <f>[2]PEIXINHOS!B36</f>
        <v>5</v>
      </c>
      <c r="AH28">
        <f>[2]PEIXINHOS!$B$38</f>
        <v>15</v>
      </c>
      <c r="AI28">
        <f>[2]PEIXINHOS!$B$39</f>
        <v>81445</v>
      </c>
    </row>
    <row r="29" spans="1:35" x14ac:dyDescent="0.25">
      <c r="A29" t="s">
        <v>55</v>
      </c>
      <c r="B29" t="s">
        <v>21</v>
      </c>
      <c r="C29" s="1">
        <f>'[2]ALTO SANTA TEREZINHA'!H27</f>
        <v>254.09090909090909</v>
      </c>
      <c r="D29" s="1">
        <f>'[2]ALTO SANTA TEREZINHA'!K27</f>
        <v>112.72727272727273</v>
      </c>
      <c r="E29" s="1">
        <f>'[2]ALTO SANTA TEREZINHA'!N27</f>
        <v>277.33333333333331</v>
      </c>
      <c r="F29" s="1">
        <f>'[2]ALTO SANTA TEREZINHA'!Q27</f>
        <v>381.75</v>
      </c>
      <c r="G29" s="1">
        <f>'[2]ALTO SANTA TEREZINHA'!T27</f>
        <v>351.81818181818181</v>
      </c>
      <c r="H29" s="1">
        <f>'[2]ALTO SANTA TEREZINHA'!W27</f>
        <v>789.91666666666663</v>
      </c>
      <c r="I29" s="1">
        <f>'[2]ALTO SANTA TEREZINHA'!Z27</f>
        <v>496.83333333333331</v>
      </c>
      <c r="J29" s="1">
        <f>'[2]ALTO SANTA TEREZINHA'!AC27</f>
        <v>247.11111111111111</v>
      </c>
      <c r="K29" s="1">
        <f>'[2]ALTO SANTA TEREZINHA'!AF27</f>
        <v>114.18181818181819</v>
      </c>
      <c r="L29" s="1">
        <f>'[2]ALTO SANTA TEREZINHA'!AI27</f>
        <v>228.6</v>
      </c>
      <c r="M29" s="1">
        <f>'[2]ALTO SANTA TEREZINHA'!AL27</f>
        <v>315.09090909090907</v>
      </c>
      <c r="N29" s="1">
        <f>'[2]ALTO SANTA TEREZINHA'!AO27</f>
        <v>449.45454545454544</v>
      </c>
      <c r="O29" s="1">
        <f>'[2]ALTO SANTA TEREZINHA'!AR27</f>
        <v>297.25</v>
      </c>
      <c r="P29" s="1">
        <f>'[2]ALTO SANTA TEREZINHA'!AU27</f>
        <v>358.92307692307691</v>
      </c>
      <c r="Q29" s="1">
        <f>'[2]ALTO SANTA TEREZINHA'!AX27</f>
        <v>231.46153846153845</v>
      </c>
      <c r="R29" s="1">
        <f>'[2]ALTO SANTA TEREZINHA'!BA27</f>
        <v>216.81818181818181</v>
      </c>
      <c r="S29" s="1">
        <f>'[2]ALTO SANTA TEREZINHA'!BD27</f>
        <v>188.76923076923077</v>
      </c>
      <c r="T29" s="1">
        <f>'[2]ALTO SANTA TEREZINHA'!BG27</f>
        <v>201.45454545454547</v>
      </c>
      <c r="U29" s="1">
        <f>'[2]ALTO SANTA TEREZINHA'!BJ27</f>
        <v>100.3</v>
      </c>
      <c r="V29" s="1" t="e">
        <f>'[2]ALTO SANTA TEREZINHA'!BM27</f>
        <v>#DIV/0!</v>
      </c>
      <c r="W29" s="1" t="e">
        <f>'[2]ALTO SANTA TEREZINHA'!BP27</f>
        <v>#DIV/0!</v>
      </c>
      <c r="X29" s="1" t="e">
        <f>'[2]ALTO SANTA TEREZINHA'!BS27</f>
        <v>#DIV/0!</v>
      </c>
      <c r="Y29" s="1" t="e">
        <f>'[2]ALTO SANTA TEREZINHA'!BV27</f>
        <v>#DIV/0!</v>
      </c>
      <c r="Z29" s="1" t="e">
        <f>'[2]ALTO SANTA TEREZINHA'!BY27</f>
        <v>#DIV/0!</v>
      </c>
      <c r="AA29" s="1" t="e">
        <f>'[2]ALTO SANTA TEREZINHA'!CB27</f>
        <v>#DIV/0!</v>
      </c>
      <c r="AB29" s="1" t="e">
        <f>'[2]ALTO SANTA TEREZINHA'!CE27</f>
        <v>#DIV/0!</v>
      </c>
      <c r="AC29">
        <f>'[2]ALTO SANTA TEREZINHA'!B30</f>
        <v>16</v>
      </c>
      <c r="AD29">
        <f>'[2]ALTO SANTA TEREZINHA'!B31</f>
        <v>11</v>
      </c>
      <c r="AE29">
        <f>'[2]ALTO SANTA TEREZINHA'!B32</f>
        <v>0</v>
      </c>
      <c r="AF29">
        <f>'[2]ALTO SANTA TEREZINHA'!B33</f>
        <v>0</v>
      </c>
      <c r="AG29">
        <f>'[2]ALTO SANTA TEREZINHA'!B34</f>
        <v>7</v>
      </c>
      <c r="AH29">
        <f>'[2]ALTO SANTA TEREZINHA'!$B$36</f>
        <v>13</v>
      </c>
      <c r="AI29">
        <f>'[2]ALTO SANTA TEREZINHA'!$B$37</f>
        <v>64731</v>
      </c>
    </row>
    <row r="30" spans="1:35" x14ac:dyDescent="0.25">
      <c r="A30" t="s">
        <v>55</v>
      </c>
      <c r="B30" t="s">
        <v>13</v>
      </c>
      <c r="C30" s="1">
        <f>'[2]CAMPO GRANDE'!H67</f>
        <v>206.02325581395348</v>
      </c>
      <c r="D30" s="1">
        <f>'[2]CAMPO GRANDE'!K67</f>
        <v>302.3488372093023</v>
      </c>
      <c r="E30" s="1">
        <f>'[2]CAMPO GRANDE'!N67</f>
        <v>575.67391304347825</v>
      </c>
      <c r="F30" s="1">
        <f>'[2]CAMPO GRANDE'!Q67</f>
        <v>417.5</v>
      </c>
      <c r="G30" s="1">
        <f>'[2]CAMPO GRANDE'!T67</f>
        <v>431.25531914893617</v>
      </c>
      <c r="H30" s="1">
        <f>'[2]CAMPO GRANDE'!W67</f>
        <v>483.62745098039215</v>
      </c>
      <c r="I30" s="1">
        <f>'[2]CAMPO GRANDE'!Z67</f>
        <v>435.87755102040819</v>
      </c>
      <c r="J30" s="1">
        <f>'[2]CAMPO GRANDE'!AC67</f>
        <v>274.89795918367349</v>
      </c>
      <c r="K30" s="1">
        <f>'[2]CAMPO GRANDE'!AF67</f>
        <v>281.9019607843137</v>
      </c>
      <c r="L30" s="1">
        <f>'[2]CAMPO GRANDE'!AI67</f>
        <v>586.60377358490564</v>
      </c>
      <c r="M30" s="1">
        <f>'[2]CAMPO GRANDE'!AL67</f>
        <v>394.94230769230768</v>
      </c>
      <c r="N30" s="1">
        <f>'[2]CAMPO GRANDE'!AO67</f>
        <v>507.1</v>
      </c>
      <c r="O30" s="1">
        <f>'[2]CAMPO GRANDE'!AR67</f>
        <v>327.40816326530614</v>
      </c>
      <c r="P30" s="1">
        <f>'[2]CAMPO GRANDE'!AU67</f>
        <v>448.14</v>
      </c>
      <c r="Q30" s="1">
        <f>'[2]CAMPO GRANDE'!AX67</f>
        <v>474.91836734693879</v>
      </c>
      <c r="R30" s="1">
        <f>'[2]CAMPO GRANDE'!BA67</f>
        <v>203.55102040816325</v>
      </c>
      <c r="S30" s="1">
        <f>'[2]CAMPO GRANDE'!BD67</f>
        <v>199.69230769230768</v>
      </c>
      <c r="T30" s="1">
        <f>'[2]CAMPO GRANDE'!BG67</f>
        <v>279.26666666666665</v>
      </c>
      <c r="U30" s="1">
        <f>'[2]CAMPO GRANDE'!BJ67</f>
        <v>257.1521739130435</v>
      </c>
      <c r="V30" s="1" t="e">
        <f>'[2]CAMPO GRANDE'!BM67</f>
        <v>#DIV/0!</v>
      </c>
      <c r="W30" s="1" t="e">
        <f>'[2]CAMPO GRANDE'!BP67</f>
        <v>#DIV/0!</v>
      </c>
      <c r="X30" s="1" t="e">
        <f>'[2]CAMPO GRANDE'!BS67</f>
        <v>#DIV/0!</v>
      </c>
      <c r="Y30" s="1" t="e">
        <f>'[2]CAMPO GRANDE'!BV67</f>
        <v>#DIV/0!</v>
      </c>
      <c r="Z30" s="1" t="e">
        <f>'[2]CAMPO GRANDE'!BY67</f>
        <v>#DIV/0!</v>
      </c>
      <c r="AA30" s="1" t="e">
        <f>'[2]CAMPO GRANDE'!CB67</f>
        <v>#DIV/0!</v>
      </c>
      <c r="AB30" s="1" t="e">
        <f>'[2]CAMPO GRANDE'!CE67</f>
        <v>#DIV/0!</v>
      </c>
      <c r="AC30">
        <f>'[2]CAMPO GRANDE'!B71</f>
        <v>48</v>
      </c>
      <c r="AD30">
        <f>'[2]CAMPO GRANDE'!B72</f>
        <v>27</v>
      </c>
      <c r="AE30">
        <f>'[2]CAMPO GRANDE'!B73</f>
        <v>0</v>
      </c>
      <c r="AF30">
        <f>'[2]CAMPO GRANDE'!B74</f>
        <v>0</v>
      </c>
      <c r="AG30">
        <f>'[2]CAMPO GRANDE'!B75</f>
        <v>28</v>
      </c>
      <c r="AH30">
        <f>'[2]CAMPO GRANDE'!$B$77</f>
        <v>53</v>
      </c>
      <c r="AI30">
        <f>'[2]CAMPO GRANDE'!$B$78</f>
        <v>345142</v>
      </c>
    </row>
    <row r="31" spans="1:35" x14ac:dyDescent="0.25">
      <c r="A31" t="s">
        <v>56</v>
      </c>
      <c r="B31" t="s">
        <v>31</v>
      </c>
      <c r="C31" s="1">
        <f>[3]APIPUCOS!H38</f>
        <v>185.38888888888889</v>
      </c>
      <c r="D31" s="1">
        <f>[3]APIPUCOS!K38</f>
        <v>271.04545454545456</v>
      </c>
      <c r="E31" s="1">
        <f>[3]APIPUCOS!N38</f>
        <v>399.28571428571428</v>
      </c>
      <c r="F31" s="1">
        <f>[3]APIPUCOS!Q38</f>
        <v>742</v>
      </c>
      <c r="G31" s="1">
        <f>[3]APIPUCOS!T38</f>
        <v>193.39130434782609</v>
      </c>
      <c r="H31" s="1">
        <f>[3]APIPUCOS!W38</f>
        <v>314.28571428571428</v>
      </c>
      <c r="I31" s="1">
        <f>[3]APIPUCOS!Z38</f>
        <v>163.61904761904762</v>
      </c>
      <c r="J31" s="1">
        <f>[3]APIPUCOS!AC38</f>
        <v>196.18181818181819</v>
      </c>
      <c r="K31" s="1">
        <f>[3]APIPUCOS!AF38</f>
        <v>131.81818181818181</v>
      </c>
      <c r="L31" s="1">
        <f>[3]APIPUCOS!AI38</f>
        <v>174.5</v>
      </c>
      <c r="M31" s="1">
        <f>[3]APIPUCOS!AL38</f>
        <v>407.60869565217394</v>
      </c>
      <c r="N31" s="1">
        <f>[3]APIPUCOS!AO38</f>
        <v>210.63636363636363</v>
      </c>
      <c r="O31" s="1">
        <f>[3]APIPUCOS!AR38</f>
        <v>173.57142857142858</v>
      </c>
      <c r="P31" s="1">
        <f>[3]APIPUCOS!AU38</f>
        <v>166.04761904761904</v>
      </c>
      <c r="Q31" s="1">
        <f>[3]APIPUCOS!AX38</f>
        <v>293.42857142857144</v>
      </c>
      <c r="R31" s="1">
        <f>[3]APIPUCOS!BA38</f>
        <v>270.04761904761904</v>
      </c>
      <c r="S31" s="1">
        <f>[3]APIPUCOS!BD38</f>
        <v>213.0952380952381</v>
      </c>
      <c r="T31" s="1">
        <f>[3]APIPUCOS!BG38</f>
        <v>246.04347826086956</v>
      </c>
      <c r="U31" s="1">
        <f>[3]APIPUCOS!BJ38</f>
        <v>183.04761904761904</v>
      </c>
      <c r="V31" s="1" t="e">
        <f>[3]APIPUCOS!BM38</f>
        <v>#DIV/0!</v>
      </c>
      <c r="W31" s="1" t="e">
        <f>[3]APIPUCOS!BP38</f>
        <v>#DIV/0!</v>
      </c>
      <c r="X31" s="1" t="e">
        <f>[3]APIPUCOS!BS38</f>
        <v>#DIV/0!</v>
      </c>
      <c r="Y31" s="1" t="e">
        <f>[3]APIPUCOS!BV38</f>
        <v>#DIV/0!</v>
      </c>
      <c r="Z31" s="1" t="e">
        <f>[3]APIPUCOS!BY38</f>
        <v>#DIV/0!</v>
      </c>
      <c r="AA31" s="1" t="e">
        <f>[3]APIPUCOS!CB38</f>
        <v>#DIV/0!</v>
      </c>
      <c r="AB31" s="1" t="e">
        <f>[3]APIPUCOS!CE38</f>
        <v>#DIV/0!</v>
      </c>
      <c r="AC31">
        <f>[3]APIPUCOS!B42</f>
        <v>21</v>
      </c>
      <c r="AD31">
        <f>[3]APIPUCOS!B43</f>
        <v>24</v>
      </c>
      <c r="AE31">
        <f>[3]APIPUCOS!B44</f>
        <v>0</v>
      </c>
      <c r="AF31">
        <f>[3]APIPUCOS!B45</f>
        <v>0</v>
      </c>
      <c r="AG31">
        <f>[3]APIPUCOS!B46</f>
        <v>14</v>
      </c>
      <c r="AH31">
        <f>[3]APIPUCOS!$B$48</f>
        <v>24</v>
      </c>
      <c r="AI31">
        <f>[3]APIPUCOS!$B$49</f>
        <v>105758</v>
      </c>
    </row>
    <row r="32" spans="1:35" x14ac:dyDescent="0.25">
      <c r="A32" t="s">
        <v>56</v>
      </c>
      <c r="B32" t="s">
        <v>35</v>
      </c>
      <c r="C32" s="1">
        <f>'[3]DOIS IRMÃOS'!H51</f>
        <v>107.75675675675676</v>
      </c>
      <c r="D32" s="1">
        <f>'[3]DOIS IRMÃOS'!K51</f>
        <v>299.27027027027026</v>
      </c>
      <c r="E32" s="1">
        <f>'[3]DOIS IRMÃOS'!N51</f>
        <v>307.27777777777777</v>
      </c>
      <c r="F32" s="1">
        <f>'[3]DOIS IRMÃOS'!Q51</f>
        <v>291.27027027027026</v>
      </c>
      <c r="G32" s="1">
        <f>'[3]DOIS IRMÃOS'!T51</f>
        <v>197.75675675675674</v>
      </c>
      <c r="H32" s="1">
        <f>'[3]DOIS IRMÃOS'!W51</f>
        <v>289.29729729729729</v>
      </c>
      <c r="I32" s="1">
        <f>'[3]DOIS IRMÃOS'!Z51</f>
        <v>223.41666666666666</v>
      </c>
      <c r="J32" s="1">
        <f>'[3]DOIS IRMÃOS'!AC51</f>
        <v>114.30555555555556</v>
      </c>
      <c r="K32" s="1">
        <f>'[3]DOIS IRMÃOS'!AF51</f>
        <v>129.51351351351352</v>
      </c>
      <c r="L32" s="1">
        <f>'[3]DOIS IRMÃOS'!AI51</f>
        <v>270.25</v>
      </c>
      <c r="M32" s="1">
        <f>'[3]DOIS IRMÃOS'!AL51</f>
        <v>161.51351351351352</v>
      </c>
      <c r="N32" s="1">
        <f>'[3]DOIS IRMÃOS'!AO51</f>
        <v>151.83333333333334</v>
      </c>
      <c r="O32" s="1">
        <f>'[3]DOIS IRMÃOS'!AR51</f>
        <v>218.75</v>
      </c>
      <c r="P32" s="1">
        <f>'[3]DOIS IRMÃOS'!AU51</f>
        <v>146.18918918918919</v>
      </c>
      <c r="Q32" s="1">
        <f>'[3]DOIS IRMÃOS'!AX51</f>
        <v>155.02702702702703</v>
      </c>
      <c r="R32" s="1">
        <f>'[3]DOIS IRMÃOS'!BA51</f>
        <v>138.27027027027026</v>
      </c>
      <c r="S32" s="1">
        <f>'[3]DOIS IRMÃOS'!BD51</f>
        <v>132.37142857142857</v>
      </c>
      <c r="T32" s="1">
        <f>'[3]DOIS IRMÃOS'!BG51</f>
        <v>106.25</v>
      </c>
      <c r="U32" s="1">
        <f>'[3]DOIS IRMÃOS'!BJ51</f>
        <v>225.05714285714285</v>
      </c>
      <c r="V32" s="1" t="e">
        <f>'[3]DOIS IRMÃOS'!BM51</f>
        <v>#DIV/0!</v>
      </c>
      <c r="W32" s="1" t="e">
        <f>'[3]DOIS IRMÃOS'!BP51</f>
        <v>#DIV/0!</v>
      </c>
      <c r="X32" s="1" t="e">
        <f>'[3]DOIS IRMÃOS'!BS51</f>
        <v>#DIV/0!</v>
      </c>
      <c r="Y32" s="1" t="e">
        <f>'[3]DOIS IRMÃOS'!BV51</f>
        <v>#DIV/0!</v>
      </c>
      <c r="Z32" s="1" t="e">
        <f>'[3]DOIS IRMÃOS'!BY51</f>
        <v>#DIV/0!</v>
      </c>
      <c r="AA32" s="1" t="e">
        <f>'[3]DOIS IRMÃOS'!CB51</f>
        <v>#DIV/0!</v>
      </c>
      <c r="AB32" s="1" t="e">
        <f>'[3]DOIS IRMÃOS'!CE51</f>
        <v>#DIV/0!</v>
      </c>
      <c r="AC32">
        <f>'[3]DOIS IRMÃOS'!B55</f>
        <v>1</v>
      </c>
      <c r="AD32">
        <f>'[3]DOIS IRMÃOS'!B56</f>
        <v>3</v>
      </c>
      <c r="AE32">
        <f>'[3]DOIS IRMÃOS'!B57</f>
        <v>1</v>
      </c>
      <c r="AF32">
        <f>'[3]DOIS IRMÃOS'!B58</f>
        <v>0</v>
      </c>
      <c r="AG32">
        <f>'[3]DOIS IRMÃOS'!B59</f>
        <v>0</v>
      </c>
      <c r="AH32">
        <f>'[3]DOIS IRMÃOS'!$B$61</f>
        <v>37</v>
      </c>
      <c r="AI32">
        <f>'[3]DOIS IRMÃOS'!$B$62</f>
        <v>133087</v>
      </c>
    </row>
    <row r="33" spans="1:35" x14ac:dyDescent="0.25">
      <c r="A33" t="s">
        <v>56</v>
      </c>
      <c r="B33" t="s">
        <v>39</v>
      </c>
      <c r="C33" s="1">
        <f>[3]MONTEIRO!H31</f>
        <v>189.52941176470588</v>
      </c>
      <c r="D33" s="1">
        <f>[3]MONTEIRO!K31</f>
        <v>248.35294117647058</v>
      </c>
      <c r="E33" s="1">
        <f>[3]MONTEIRO!N31</f>
        <v>537.58823529411768</v>
      </c>
      <c r="F33" s="1">
        <f>[3]MONTEIRO!Q31</f>
        <v>718.11764705882354</v>
      </c>
      <c r="G33" s="1">
        <f>[3]MONTEIRO!T31</f>
        <v>302.76470588235293</v>
      </c>
      <c r="H33" s="1">
        <f>[3]MONTEIRO!W31</f>
        <v>631.58823529411768</v>
      </c>
      <c r="I33" s="1">
        <f>[3]MONTEIRO!Z31</f>
        <v>562.47058823529414</v>
      </c>
      <c r="J33" s="1">
        <f>[3]MONTEIRO!AC31</f>
        <v>724.05882352941171</v>
      </c>
      <c r="K33" s="1">
        <f>[3]MONTEIRO!AF31</f>
        <v>342.3125</v>
      </c>
      <c r="L33" s="1">
        <f>[3]MONTEIRO!AI31</f>
        <v>350.8235294117647</v>
      </c>
      <c r="M33" s="1">
        <f>[3]MONTEIRO!AL31</f>
        <v>554.52941176470586</v>
      </c>
      <c r="N33" s="1">
        <f>[3]MONTEIRO!AO31</f>
        <v>162.05882352941177</v>
      </c>
      <c r="O33" s="1">
        <f>[3]MONTEIRO!AR31</f>
        <v>309.29411764705884</v>
      </c>
      <c r="P33" s="1">
        <f>[3]MONTEIRO!AU31</f>
        <v>196.6</v>
      </c>
      <c r="Q33" s="1">
        <f>[3]MONTEIRO!AX31</f>
        <v>419.6</v>
      </c>
      <c r="R33" s="1">
        <f>[3]MONTEIRO!BA31</f>
        <v>341.0625</v>
      </c>
      <c r="S33" s="1">
        <f>[3]MONTEIRO!BD31</f>
        <v>391</v>
      </c>
      <c r="T33" s="1">
        <f>[3]MONTEIRO!BG31</f>
        <v>321.8125</v>
      </c>
      <c r="U33" s="1">
        <f>[3]MONTEIRO!BJ31</f>
        <v>400.5</v>
      </c>
      <c r="V33" s="1" t="e">
        <f>[3]MONTEIRO!BM31</f>
        <v>#DIV/0!</v>
      </c>
      <c r="W33" s="1" t="e">
        <f>[3]MONTEIRO!BP31</f>
        <v>#DIV/0!</v>
      </c>
      <c r="X33" s="1" t="e">
        <f>[3]MONTEIRO!BS31</f>
        <v>#DIV/0!</v>
      </c>
      <c r="Y33" s="1" t="e">
        <f>[3]MONTEIRO!BV31</f>
        <v>#DIV/0!</v>
      </c>
      <c r="Z33" s="1" t="e">
        <f>[3]MONTEIRO!BY31</f>
        <v>#DIV/0!</v>
      </c>
      <c r="AA33" s="1" t="e">
        <f>[3]MONTEIRO!CB31</f>
        <v>#DIV/0!</v>
      </c>
      <c r="AB33" s="1" t="e">
        <f>[3]MONTEIRO!CE31</f>
        <v>#DIV/0!</v>
      </c>
      <c r="AC33">
        <f>[3]MONTEIRO!B34</f>
        <v>5</v>
      </c>
      <c r="AD33">
        <f>[3]MONTEIRO!B35</f>
        <v>4</v>
      </c>
      <c r="AE33">
        <f>[3]MONTEIRO!B36</f>
        <v>0</v>
      </c>
      <c r="AF33">
        <f>[3]MONTEIRO!B37</f>
        <v>0</v>
      </c>
      <c r="AG33">
        <f>[3]MONTEIRO!B38</f>
        <v>1</v>
      </c>
      <c r="AH33">
        <f>[3]MONTEIRO!$B$40</f>
        <v>17</v>
      </c>
      <c r="AI33">
        <f>[3]MONTEIRO!$B$41</f>
        <v>127940</v>
      </c>
    </row>
    <row r="34" spans="1:35" x14ac:dyDescent="0.25">
      <c r="A34" t="s">
        <v>56</v>
      </c>
      <c r="B34" t="s">
        <v>32</v>
      </c>
      <c r="C34" s="1">
        <f>'[3]CASA AMARELA'!H66</f>
        <v>209.12820512820514</v>
      </c>
      <c r="D34" s="1">
        <f>'[3]CASA AMARELA'!K66</f>
        <v>309.83999999999997</v>
      </c>
      <c r="E34" s="1">
        <f>'[3]CASA AMARELA'!N66</f>
        <v>278.58823529411762</v>
      </c>
      <c r="F34" s="1">
        <f>'[3]CASA AMARELA'!Q66</f>
        <v>440.32</v>
      </c>
      <c r="G34" s="1">
        <f>'[3]CASA AMARELA'!T66</f>
        <v>274.24</v>
      </c>
      <c r="H34" s="1">
        <f>'[3]CASA AMARELA'!W66</f>
        <v>417.32608695652175</v>
      </c>
      <c r="I34" s="1">
        <f>'[3]CASA AMARELA'!Z66</f>
        <v>250.82</v>
      </c>
      <c r="J34" s="1">
        <f>'[3]CASA AMARELA'!AC66</f>
        <v>312.86956521739131</v>
      </c>
      <c r="K34" s="1">
        <f>'[3]CASA AMARELA'!AF66</f>
        <v>192.89583333333334</v>
      </c>
      <c r="L34" s="1">
        <f>'[3]CASA AMARELA'!AI66</f>
        <v>292.72916666666669</v>
      </c>
      <c r="M34" s="1">
        <f>'[3]CASA AMARELA'!AL66</f>
        <v>331.57446808510639</v>
      </c>
      <c r="N34" s="1">
        <f>'[3]CASA AMARELA'!AO66</f>
        <v>194.11627906976744</v>
      </c>
      <c r="O34" s="1">
        <f>'[3]CASA AMARELA'!AR66</f>
        <v>233.89583333333334</v>
      </c>
      <c r="P34" s="1">
        <f>'[3]CASA AMARELA'!AU66</f>
        <v>153.30612244897958</v>
      </c>
      <c r="Q34" s="1">
        <f>'[3]CASA AMARELA'!AX66</f>
        <v>232.8125</v>
      </c>
      <c r="R34" s="1">
        <f>'[3]CASA AMARELA'!BA66</f>
        <v>240.12244897959184</v>
      </c>
      <c r="S34" s="1">
        <f>'[3]CASA AMARELA'!BD66</f>
        <v>238.55319148936169</v>
      </c>
      <c r="T34" s="1">
        <f>'[3]CASA AMARELA'!BG66</f>
        <v>137.89743589743588</v>
      </c>
      <c r="U34" s="1">
        <f>'[3]CASA AMARELA'!BJ66</f>
        <v>183.79166666666666</v>
      </c>
      <c r="V34" s="1" t="e">
        <f>'[3]CASA AMARELA'!BM66</f>
        <v>#DIV/0!</v>
      </c>
      <c r="W34" s="1" t="e">
        <f>'[3]CASA AMARELA'!BP66</f>
        <v>#DIV/0!</v>
      </c>
      <c r="X34" s="1" t="e">
        <f>'[3]CASA AMARELA'!BS66</f>
        <v>#DIV/0!</v>
      </c>
      <c r="Y34" s="1" t="e">
        <f>'[3]CASA AMARELA'!BV66</f>
        <v>#DIV/0!</v>
      </c>
      <c r="Z34" s="1" t="e">
        <f>'[3]CASA AMARELA'!BY66</f>
        <v>#DIV/0!</v>
      </c>
      <c r="AA34" s="1" t="e">
        <f>'[3]CASA AMARELA'!CB66</f>
        <v>#DIV/0!</v>
      </c>
      <c r="AB34" s="1" t="e">
        <f>'[3]CASA AMARELA'!CE66</f>
        <v>#DIV/0!</v>
      </c>
      <c r="AC34">
        <f>'[3]CASA AMARELA'!B70</f>
        <v>57</v>
      </c>
      <c r="AD34">
        <f>'[3]CASA AMARELA'!B71</f>
        <v>30</v>
      </c>
      <c r="AE34">
        <f>'[3]CASA AMARELA'!B72</f>
        <v>1</v>
      </c>
      <c r="AF34">
        <f>'[3]CASA AMARELA'!B73</f>
        <v>0</v>
      </c>
      <c r="AG34">
        <f>'[3]CASA AMARELA'!B74</f>
        <v>54</v>
      </c>
      <c r="AH34">
        <f>'[3]CASA AMARELA'!$B$76</f>
        <v>52</v>
      </c>
      <c r="AI34">
        <f>'[3]CASA AMARELA'!$B$77</f>
        <v>234047</v>
      </c>
    </row>
    <row r="35" spans="1:35" x14ac:dyDescent="0.25">
      <c r="A35" t="s">
        <v>56</v>
      </c>
      <c r="B35" t="s">
        <v>30</v>
      </c>
      <c r="C35" s="1">
        <f>'[3]ALTO DO MANDU'!H23</f>
        <v>169</v>
      </c>
      <c r="D35" s="1">
        <f>'[3]ALTO DO MANDU'!K23</f>
        <v>133.11111111111111</v>
      </c>
      <c r="E35" s="1">
        <f>'[3]ALTO DO MANDU'!N23</f>
        <v>147.88888888888889</v>
      </c>
      <c r="F35" s="1">
        <f>'[3]ALTO DO MANDU'!Q23</f>
        <v>169.11111111111111</v>
      </c>
      <c r="G35" s="1">
        <f>'[3]ALTO DO MANDU'!T23</f>
        <v>73.714285714285708</v>
      </c>
      <c r="H35" s="1">
        <f>'[3]ALTO DO MANDU'!W23</f>
        <v>179.75</v>
      </c>
      <c r="I35" s="1">
        <f>'[3]ALTO DO MANDU'!Z23</f>
        <v>175.28571428571428</v>
      </c>
      <c r="J35" s="1">
        <f>'[3]ALTO DO MANDU'!AC23</f>
        <v>94.125</v>
      </c>
      <c r="K35" s="1">
        <f>'[3]ALTO DO MANDU'!AF23</f>
        <v>16.833333333333332</v>
      </c>
      <c r="L35" s="1">
        <f>'[3]ALTO DO MANDU'!AI23</f>
        <v>129.28571428571428</v>
      </c>
      <c r="M35" s="1">
        <f>'[3]ALTO DO MANDU'!AL23</f>
        <v>159.75</v>
      </c>
      <c r="N35" s="1">
        <f>'[3]ALTO DO MANDU'!AO23</f>
        <v>257.875</v>
      </c>
      <c r="O35" s="1">
        <f>'[3]ALTO DO MANDU'!AR23</f>
        <v>336.44444444444446</v>
      </c>
      <c r="P35" s="1">
        <f>'[3]ALTO DO MANDU'!AU23</f>
        <v>83.285714285714292</v>
      </c>
      <c r="Q35" s="1">
        <f>'[3]ALTO DO MANDU'!AX23</f>
        <v>262.88888888888891</v>
      </c>
      <c r="R35" s="1">
        <f>'[3]ALTO DO MANDU'!BA23</f>
        <v>139.25</v>
      </c>
      <c r="S35" s="1">
        <f>'[3]ALTO DO MANDU'!BD23</f>
        <v>104.75</v>
      </c>
      <c r="T35" s="1">
        <f>'[3]ALTO DO MANDU'!BG23</f>
        <v>82.333333333333329</v>
      </c>
      <c r="U35" s="1">
        <f>'[3]ALTO DO MANDU'!BJ23</f>
        <v>243.125</v>
      </c>
      <c r="V35" s="1" t="e">
        <f>'[3]ALTO DO MANDU'!BM23</f>
        <v>#DIV/0!</v>
      </c>
      <c r="W35" s="1" t="e">
        <f>'[3]ALTO DO MANDU'!BP23</f>
        <v>#DIV/0!</v>
      </c>
      <c r="X35" s="1" t="e">
        <f>'[3]ALTO DO MANDU'!BS23</f>
        <v>#DIV/0!</v>
      </c>
      <c r="Y35" s="1" t="e">
        <f>'[3]ALTO DO MANDU'!BV23</f>
        <v>#DIV/0!</v>
      </c>
      <c r="Z35" s="1" t="e">
        <f>'[3]ALTO DO MANDU'!BY23</f>
        <v>#DIV/0!</v>
      </c>
      <c r="AA35" s="1" t="e">
        <f>'[3]ALTO DO MANDU'!CB23</f>
        <v>#DIV/0!</v>
      </c>
      <c r="AB35" s="1" t="e">
        <f>'[3]ALTO DO MANDU'!CE23</f>
        <v>#DIV/0!</v>
      </c>
      <c r="AC35">
        <f>'[3]ALTO DO MANDU'!B26</f>
        <v>11</v>
      </c>
      <c r="AD35">
        <f>'[3]ALTO DO MANDU'!B27</f>
        <v>4</v>
      </c>
      <c r="AE35">
        <f>'[3]ALTO DO MANDU'!B28</f>
        <v>1</v>
      </c>
      <c r="AF35">
        <f>'[3]ALTO DO MANDU'!B29</f>
        <v>0</v>
      </c>
      <c r="AG35">
        <f>'[3]ALTO DO MANDU'!B30</f>
        <v>12</v>
      </c>
      <c r="AH35">
        <f>'[3]ALTO DO MANDU'!$B$32</f>
        <v>9</v>
      </c>
      <c r="AI35">
        <f>'[3]ALTO DO MANDU'!$B$33</f>
        <v>24221</v>
      </c>
    </row>
    <row r="36" spans="1:35" x14ac:dyDescent="0.25">
      <c r="A36" t="s">
        <v>56</v>
      </c>
      <c r="B36" t="s">
        <v>33</v>
      </c>
      <c r="C36" s="1">
        <f>'[3]CASA FORTE'!H28</f>
        <v>160.58333333333334</v>
      </c>
      <c r="D36" s="1">
        <f>'[3]CASA FORTE'!K28</f>
        <v>180.14285714285714</v>
      </c>
      <c r="E36" s="1">
        <f>'[3]CASA FORTE'!N28</f>
        <v>265.5</v>
      </c>
      <c r="F36" s="1">
        <f>'[3]CASA FORTE'!Q28</f>
        <v>280.64285714285717</v>
      </c>
      <c r="G36" s="1">
        <f>'[3]CASA FORTE'!T28</f>
        <v>170.07142857142858</v>
      </c>
      <c r="H36" s="1">
        <f>'[3]CASA FORTE'!W28</f>
        <v>193.30769230769232</v>
      </c>
      <c r="I36" s="1">
        <f>'[3]CASA FORTE'!Z28</f>
        <v>326.5</v>
      </c>
      <c r="J36" s="1">
        <f>'[3]CASA FORTE'!AC28</f>
        <v>203.71428571428572</v>
      </c>
      <c r="K36" s="1">
        <f>'[3]CASA FORTE'!AF28</f>
        <v>55.642857142857146</v>
      </c>
      <c r="L36" s="1">
        <f>'[3]CASA FORTE'!AI28</f>
        <v>260.78571428571428</v>
      </c>
      <c r="M36" s="1">
        <f>'[3]CASA FORTE'!AL28</f>
        <v>246.35714285714286</v>
      </c>
      <c r="N36" s="1">
        <f>'[3]CASA FORTE'!AO28</f>
        <v>181.92857142857142</v>
      </c>
      <c r="O36" s="1">
        <f>'[3]CASA FORTE'!AR28</f>
        <v>280.38461538461536</v>
      </c>
      <c r="P36" s="1">
        <f>'[3]CASA FORTE'!AU28</f>
        <v>200</v>
      </c>
      <c r="Q36" s="1">
        <f>'[3]CASA FORTE'!AX28</f>
        <v>138.71428571428572</v>
      </c>
      <c r="R36" s="1">
        <f>'[3]CASA FORTE'!BA28</f>
        <v>417.14285714285717</v>
      </c>
      <c r="S36" s="1">
        <f>'[3]CASA FORTE'!BD28</f>
        <v>164.64285714285714</v>
      </c>
      <c r="T36" s="1">
        <f>'[3]CASA FORTE'!BG28</f>
        <v>149.35714285714286</v>
      </c>
      <c r="U36" s="1">
        <f>'[3]CASA FORTE'!BJ28</f>
        <v>143</v>
      </c>
      <c r="V36" s="1" t="e">
        <f>'[3]CASA FORTE'!BM28</f>
        <v>#DIV/0!</v>
      </c>
      <c r="W36" s="1" t="e">
        <f>'[3]CASA FORTE'!BP28</f>
        <v>#DIV/0!</v>
      </c>
      <c r="X36" s="1" t="e">
        <f>'[3]CASA FORTE'!BS28</f>
        <v>#DIV/0!</v>
      </c>
      <c r="Y36" s="1" t="e">
        <f>'[3]CASA FORTE'!BV28</f>
        <v>#DIV/0!</v>
      </c>
      <c r="Z36" s="1" t="e">
        <f>'[3]CASA FORTE'!BY28</f>
        <v>#DIV/0!</v>
      </c>
      <c r="AA36" s="1" t="e">
        <f>'[3]CASA FORTE'!CB28</f>
        <v>#DIV/0!</v>
      </c>
      <c r="AB36" s="1" t="e">
        <f>'[3]CASA FORTE'!CE28</f>
        <v>#DIV/0!</v>
      </c>
      <c r="AC36">
        <f>'[3]CASA FORTE'!B31</f>
        <v>3</v>
      </c>
      <c r="AD36">
        <f>'[3]CASA FORTE'!B32</f>
        <v>2</v>
      </c>
      <c r="AE36">
        <f>'[3]CASA FORTE'!B33</f>
        <v>0</v>
      </c>
      <c r="AF36">
        <f>'[3]CASA FORTE'!B34</f>
        <v>0</v>
      </c>
      <c r="AG36">
        <f>'[3]CASA FORTE'!B35</f>
        <v>3</v>
      </c>
      <c r="AH36">
        <f>'[3]CASA FORTE'!$B$37</f>
        <v>14</v>
      </c>
      <c r="AI36">
        <f>'[3]CASA FORTE'!$B$38</f>
        <v>55263</v>
      </c>
    </row>
    <row r="37" spans="1:35" x14ac:dyDescent="0.25">
      <c r="A37" t="s">
        <v>56</v>
      </c>
      <c r="B37" t="s">
        <v>40</v>
      </c>
      <c r="C37" s="1">
        <f>[3]PARNAMIRIM!H30</f>
        <v>149.6</v>
      </c>
      <c r="D37" s="1">
        <f>[3]PARNAMIRIM!K30</f>
        <v>179.78571428571428</v>
      </c>
      <c r="E37" s="1">
        <f>[3]PARNAMIRIM!N30</f>
        <v>145.4</v>
      </c>
      <c r="F37" s="1">
        <f>[3]PARNAMIRIM!Q30</f>
        <v>148.06666666666666</v>
      </c>
      <c r="G37" s="1">
        <f>[3]PARNAMIRIM!T30</f>
        <v>179.25</v>
      </c>
      <c r="H37" s="1">
        <f>[3]PARNAMIRIM!W30</f>
        <v>132.28571428571428</v>
      </c>
      <c r="I37" s="1">
        <f>[3]PARNAMIRIM!Z30</f>
        <v>141.91666666666666</v>
      </c>
      <c r="J37" s="1">
        <f>[3]PARNAMIRIM!AC30</f>
        <v>186.41666666666666</v>
      </c>
      <c r="K37" s="1">
        <f>[3]PARNAMIRIM!AF30</f>
        <v>56.133333333333333</v>
      </c>
      <c r="L37" s="1">
        <f>[3]PARNAMIRIM!AI30</f>
        <v>133.30769230769232</v>
      </c>
      <c r="M37" s="1">
        <f>[3]PARNAMIRIM!AL30</f>
        <v>261.66666666666669</v>
      </c>
      <c r="N37" s="1">
        <f>[3]PARNAMIRIM!AO30</f>
        <v>144.57142857142858</v>
      </c>
      <c r="O37" s="1">
        <f>[3]PARNAMIRIM!AR30</f>
        <v>124</v>
      </c>
      <c r="P37" s="1">
        <f>[3]PARNAMIRIM!AU30</f>
        <v>193.6</v>
      </c>
      <c r="Q37" s="1">
        <f>[3]PARNAMIRIM!AX30</f>
        <v>345.07142857142856</v>
      </c>
      <c r="R37" s="1">
        <f>[3]PARNAMIRIM!BA30</f>
        <v>115</v>
      </c>
      <c r="S37" s="1">
        <f>[3]PARNAMIRIM!BD30</f>
        <v>123.76923076923077</v>
      </c>
      <c r="T37" s="1">
        <f>[3]PARNAMIRIM!BG30</f>
        <v>82.1</v>
      </c>
      <c r="U37" s="1">
        <f>[3]PARNAMIRIM!BJ30</f>
        <v>155.80000000000001</v>
      </c>
      <c r="V37" s="1" t="e">
        <f>[3]PARNAMIRIM!BM30</f>
        <v>#DIV/0!</v>
      </c>
      <c r="W37" s="1" t="e">
        <f>[3]PARNAMIRIM!BP30</f>
        <v>#DIV/0!</v>
      </c>
      <c r="X37" s="1" t="e">
        <f>[3]PARNAMIRIM!BS30</f>
        <v>#DIV/0!</v>
      </c>
      <c r="Y37" s="1" t="e">
        <f>[3]PARNAMIRIM!BV30</f>
        <v>#DIV/0!</v>
      </c>
      <c r="Z37" s="1" t="e">
        <f>[3]PARNAMIRIM!BY30</f>
        <v>#DIV/0!</v>
      </c>
      <c r="AA37" s="1" t="e">
        <f>[3]PARNAMIRIM!CB30</f>
        <v>#DIV/0!</v>
      </c>
      <c r="AB37" s="1" t="e">
        <f>[3]PARNAMIRIM!CE30</f>
        <v>#DIV/0!</v>
      </c>
      <c r="AC37">
        <f>[3]PARNAMIRIM!B33</f>
        <v>33</v>
      </c>
      <c r="AD37">
        <f>[3]PARNAMIRIM!B34</f>
        <v>14</v>
      </c>
      <c r="AE37">
        <f>[3]PARNAMIRIM!B35</f>
        <v>0</v>
      </c>
      <c r="AF37">
        <f>[3]PARNAMIRIM!B36</f>
        <v>0</v>
      </c>
      <c r="AG37">
        <f>[3]PARNAMIRIM!B37</f>
        <v>20</v>
      </c>
      <c r="AH37">
        <f>[3]PARNAMIRIM!$B$39</f>
        <v>16</v>
      </c>
      <c r="AI37">
        <f>[3]PARNAMIRIM!$B$40</f>
        <v>40699</v>
      </c>
    </row>
    <row r="38" spans="1:35" x14ac:dyDescent="0.25">
      <c r="A38" t="s">
        <v>56</v>
      </c>
      <c r="B38" t="s">
        <v>42</v>
      </c>
      <c r="C38" s="1">
        <f>[3]SANTANA!H23</f>
        <v>311.625</v>
      </c>
      <c r="D38" s="1">
        <f>[3]SANTANA!K23</f>
        <v>273.55555555555554</v>
      </c>
      <c r="E38" s="1">
        <f>[3]SANTANA!N23</f>
        <v>366.2</v>
      </c>
      <c r="F38" s="1">
        <f>[3]SANTANA!Q23</f>
        <v>660.66666666666663</v>
      </c>
      <c r="G38" s="1">
        <f>[3]SANTANA!T23</f>
        <v>493.22222222222223</v>
      </c>
      <c r="H38" s="1">
        <f>[3]SANTANA!W23</f>
        <v>533.22222222222217</v>
      </c>
      <c r="I38" s="1">
        <f>[3]SANTANA!Z23</f>
        <v>408.77777777777777</v>
      </c>
      <c r="J38" s="1">
        <f>[3]SANTANA!AC23</f>
        <v>225.875</v>
      </c>
      <c r="K38" s="1">
        <f>[3]SANTANA!AF23</f>
        <v>170.77777777777777</v>
      </c>
      <c r="L38" s="1">
        <f>[3]SANTANA!AI23</f>
        <v>321.22222222222223</v>
      </c>
      <c r="M38" s="1">
        <f>[3]SANTANA!AL23</f>
        <v>334.22222222222223</v>
      </c>
      <c r="N38" s="1">
        <f>[3]SANTANA!AO23</f>
        <v>315.55555555555554</v>
      </c>
      <c r="O38" s="1">
        <f>[3]SANTANA!AR23</f>
        <v>235</v>
      </c>
      <c r="P38" s="1">
        <f>[3]SANTANA!AU23</f>
        <v>173.44444444444446</v>
      </c>
      <c r="Q38" s="1">
        <f>[3]SANTANA!AX23</f>
        <v>395.33333333333331</v>
      </c>
      <c r="R38" s="1">
        <f>[3]SANTANA!BA23</f>
        <v>214.25</v>
      </c>
      <c r="S38" s="1">
        <f>[3]SANTANA!BD23</f>
        <v>229.875</v>
      </c>
      <c r="T38" s="1">
        <f>[3]SANTANA!BG23</f>
        <v>343.375</v>
      </c>
      <c r="U38" s="1">
        <f>[3]SANTANA!BJ23</f>
        <v>360.88888888888891</v>
      </c>
      <c r="V38" s="1" t="e">
        <f>[3]SANTANA!BM23</f>
        <v>#DIV/0!</v>
      </c>
      <c r="W38" s="1" t="e">
        <f>[3]SANTANA!BP23</f>
        <v>#DIV/0!</v>
      </c>
      <c r="X38" s="1" t="e">
        <f>[3]SANTANA!BS23</f>
        <v>#DIV/0!</v>
      </c>
      <c r="Y38" s="1" t="e">
        <f>[3]SANTANA!BV23</f>
        <v>#DIV/0!</v>
      </c>
      <c r="Z38" s="1" t="e">
        <f>[3]SANTANA!BY23</f>
        <v>#DIV/0!</v>
      </c>
      <c r="AA38" s="1" t="e">
        <f>[3]SANTANA!CB23</f>
        <v>#DIV/0!</v>
      </c>
      <c r="AB38" s="1" t="e">
        <f>[3]SANTANA!CE23</f>
        <v>#DIV/0!</v>
      </c>
      <c r="AC38">
        <f>[3]SANTANA!B26</f>
        <v>0</v>
      </c>
      <c r="AD38">
        <f>[3]SANTANA!B27</f>
        <v>9</v>
      </c>
      <c r="AE38">
        <f>[3]SANTANA!B28</f>
        <v>0</v>
      </c>
      <c r="AF38">
        <f>[3]SANTANA!B29</f>
        <v>0</v>
      </c>
      <c r="AG38">
        <f>[3]SANTANA!B30</f>
        <v>1</v>
      </c>
      <c r="AH38">
        <f>[3]SANTANA!$B$32</f>
        <v>9</v>
      </c>
      <c r="AI38">
        <f>[3]SANTANA!$B$33</f>
        <v>54514</v>
      </c>
    </row>
    <row r="39" spans="1:35" x14ac:dyDescent="0.25">
      <c r="A39" t="s">
        <v>56</v>
      </c>
      <c r="B39" t="s">
        <v>41</v>
      </c>
      <c r="C39" s="1">
        <f>'[3]POÇO DA PANELA'!H32</f>
        <v>181.94444444444446</v>
      </c>
      <c r="D39" s="1">
        <f>'[3]POÇO DA PANELA'!K32</f>
        <v>240.94444444444446</v>
      </c>
      <c r="E39" s="1">
        <f>'[3]POÇO DA PANELA'!N32</f>
        <v>250.72222222222223</v>
      </c>
      <c r="F39" s="1">
        <f>'[3]POÇO DA PANELA'!Q32</f>
        <v>274.11764705882354</v>
      </c>
      <c r="G39" s="1">
        <f>'[3]POÇO DA PANELA'!T32</f>
        <v>210.1764705882353</v>
      </c>
      <c r="H39" s="1">
        <f>'[3]POÇO DA PANELA'!W32</f>
        <v>266.375</v>
      </c>
      <c r="I39" s="1">
        <f>'[3]POÇO DA PANELA'!Z32</f>
        <v>190.70588235294119</v>
      </c>
      <c r="J39" s="1">
        <f>'[3]POÇO DA PANELA'!AC32</f>
        <v>260.5625</v>
      </c>
      <c r="K39" s="1">
        <f>'[3]POÇO DA PANELA'!AF32</f>
        <v>229.14285714285714</v>
      </c>
      <c r="L39" s="1">
        <f>'[3]POÇO DA PANELA'!AI32</f>
        <v>271.5</v>
      </c>
      <c r="M39" s="1">
        <f>'[3]POÇO DA PANELA'!AL32</f>
        <v>306.55555555555554</v>
      </c>
      <c r="N39" s="1">
        <f>'[3]POÇO DA PANELA'!AO32</f>
        <v>193.83333333333334</v>
      </c>
      <c r="O39" s="1">
        <f>'[3]POÇO DA PANELA'!AR32</f>
        <v>222.16666666666666</v>
      </c>
      <c r="P39" s="1">
        <f>'[3]POÇO DA PANELA'!AU32</f>
        <v>310.61111111111109</v>
      </c>
      <c r="Q39" s="1">
        <f>'[3]POÇO DA PANELA'!AX32</f>
        <v>281.11764705882354</v>
      </c>
      <c r="R39" s="1">
        <f>'[3]POÇO DA PANELA'!BA32</f>
        <v>174.83333333333334</v>
      </c>
      <c r="S39" s="1">
        <f>'[3]POÇO DA PANELA'!BD32</f>
        <v>189.33333333333334</v>
      </c>
      <c r="T39" s="1">
        <f>'[3]POÇO DA PANELA'!BG32</f>
        <v>210.4375</v>
      </c>
      <c r="U39" s="1">
        <f>'[3]POÇO DA PANELA'!BJ32</f>
        <v>189.70588235294119</v>
      </c>
      <c r="V39" s="1" t="e">
        <f>'[3]POÇO DA PANELA'!BM32</f>
        <v>#DIV/0!</v>
      </c>
      <c r="W39" s="1" t="e">
        <f>'[3]POÇO DA PANELA'!BP32</f>
        <v>#DIV/0!</v>
      </c>
      <c r="X39" s="1" t="e">
        <f>'[3]POÇO DA PANELA'!BS32</f>
        <v>#DIV/0!</v>
      </c>
      <c r="Y39" s="1" t="e">
        <f>'[3]POÇO DA PANELA'!BV32</f>
        <v>#DIV/0!</v>
      </c>
      <c r="Z39" s="1" t="e">
        <f>'[3]POÇO DA PANELA'!BY32</f>
        <v>#DIV/0!</v>
      </c>
      <c r="AA39" s="1" t="e">
        <f>'[3]POÇO DA PANELA'!CB32</f>
        <v>#DIV/0!</v>
      </c>
      <c r="AB39" s="1" t="e">
        <f>'[3]POÇO DA PANELA'!CE32</f>
        <v>#DIV/0!</v>
      </c>
      <c r="AC39">
        <f>'[3]POÇO DA PANELA'!B36</f>
        <v>7</v>
      </c>
      <c r="AD39">
        <f>'[3]POÇO DA PANELA'!B37</f>
        <v>3</v>
      </c>
      <c r="AE39">
        <f>'[3]POÇO DA PANELA'!B38</f>
        <v>0</v>
      </c>
      <c r="AF39">
        <f>'[3]POÇO DA PANELA'!B39</f>
        <v>0</v>
      </c>
      <c r="AG39">
        <f>'[3]POÇO DA PANELA'!B40</f>
        <v>2</v>
      </c>
      <c r="AH39">
        <f>'[3]POÇO DA PANELA'!$B$42</f>
        <v>18</v>
      </c>
      <c r="AI39">
        <f>'[3]POÇO DA PANELA'!$B$43</f>
        <v>76106</v>
      </c>
    </row>
    <row r="40" spans="1:35" x14ac:dyDescent="0.25">
      <c r="A40" t="s">
        <v>56</v>
      </c>
      <c r="B40" t="s">
        <v>43</v>
      </c>
      <c r="C40" s="1">
        <f>'[3]SITIO DOS PINTOS'!H40</f>
        <v>185</v>
      </c>
      <c r="D40" s="1">
        <f>'[3]SITIO DOS PINTOS'!K40</f>
        <v>128.65384615384616</v>
      </c>
      <c r="E40" s="1">
        <f>'[3]SITIO DOS PINTOS'!N40</f>
        <v>319.34615384615387</v>
      </c>
      <c r="F40" s="1">
        <f>'[3]SITIO DOS PINTOS'!Q40</f>
        <v>249.73076923076923</v>
      </c>
      <c r="G40" s="1">
        <f>'[3]SITIO DOS PINTOS'!T40</f>
        <v>159.84615384615384</v>
      </c>
      <c r="H40" s="1">
        <f>'[3]SITIO DOS PINTOS'!W40</f>
        <v>254.88461538461539</v>
      </c>
      <c r="I40" s="1">
        <f>'[3]SITIO DOS PINTOS'!Z40</f>
        <v>134.07692307692307</v>
      </c>
      <c r="J40" s="1">
        <f>'[3]SITIO DOS PINTOS'!AC40</f>
        <v>148.75</v>
      </c>
      <c r="K40" s="1">
        <f>'[3]SITIO DOS PINTOS'!AF40</f>
        <v>109.5</v>
      </c>
      <c r="L40" s="1">
        <f>'[3]SITIO DOS PINTOS'!AI40</f>
        <v>203.61538461538461</v>
      </c>
      <c r="M40" s="1">
        <f>'[3]SITIO DOS PINTOS'!AL40</f>
        <v>160.88461538461539</v>
      </c>
      <c r="N40" s="1">
        <f>'[3]SITIO DOS PINTOS'!AO40</f>
        <v>98.230769230769226</v>
      </c>
      <c r="O40" s="1">
        <f>'[3]SITIO DOS PINTOS'!AR40</f>
        <v>133.88461538461539</v>
      </c>
      <c r="P40" s="1">
        <f>'[3]SITIO DOS PINTOS'!AU40</f>
        <v>184.34615384615384</v>
      </c>
      <c r="Q40" s="1">
        <f>'[3]SITIO DOS PINTOS'!AX40</f>
        <v>104.56</v>
      </c>
      <c r="R40" s="1">
        <f>'[3]SITIO DOS PINTOS'!BA40</f>
        <v>103.17391304347827</v>
      </c>
      <c r="S40" s="1">
        <f>'[3]SITIO DOS PINTOS'!BD40</f>
        <v>124.11538461538461</v>
      </c>
      <c r="T40" s="1">
        <f>'[3]SITIO DOS PINTOS'!BG40</f>
        <v>97.12</v>
      </c>
      <c r="U40" s="1">
        <f>'[3]SITIO DOS PINTOS'!BJ40</f>
        <v>99.28</v>
      </c>
      <c r="V40" s="1" t="e">
        <f>'[3]SITIO DOS PINTOS'!BM40</f>
        <v>#DIV/0!</v>
      </c>
      <c r="W40" s="1" t="e">
        <f>'[3]SITIO DOS PINTOS'!BP40</f>
        <v>#DIV/0!</v>
      </c>
      <c r="X40" s="1" t="e">
        <f>'[3]SITIO DOS PINTOS'!BS40</f>
        <v>#DIV/0!</v>
      </c>
      <c r="Y40" s="1" t="e">
        <f>'[3]SITIO DOS PINTOS'!BV40</f>
        <v>#DIV/0!</v>
      </c>
      <c r="Z40" s="1" t="e">
        <f>'[3]SITIO DOS PINTOS'!BY40</f>
        <v>#DIV/0!</v>
      </c>
      <c r="AA40" s="1" t="e">
        <f>'[3]SITIO DOS PINTOS'!CB40</f>
        <v>#DIV/0!</v>
      </c>
      <c r="AB40" s="1" t="e">
        <f>'[3]SITIO DOS PINTOS'!CE40</f>
        <v>#DIV/0!</v>
      </c>
      <c r="AC40">
        <f>'[3]SITIO DOS PINTOS'!B43</f>
        <v>2</v>
      </c>
      <c r="AD40">
        <f>'[3]SITIO DOS PINTOS'!B44</f>
        <v>0</v>
      </c>
      <c r="AE40">
        <f>'[3]SITIO DOS PINTOS'!B45</f>
        <v>0</v>
      </c>
      <c r="AF40">
        <f>'[3]SITIO DOS PINTOS'!B46</f>
        <v>0</v>
      </c>
      <c r="AG40">
        <f>'[3]SITIO DOS PINTOS'!B47</f>
        <v>2</v>
      </c>
      <c r="AH40">
        <f>'[3]SITIO DOS PINTOS'!$B$49</f>
        <v>26</v>
      </c>
      <c r="AI40">
        <f>'[3]SITIO DOS PINTOS'!$B$50</f>
        <v>77066</v>
      </c>
    </row>
    <row r="41" spans="1:35" x14ac:dyDescent="0.25">
      <c r="A41" t="s">
        <v>56</v>
      </c>
      <c r="B41" t="s">
        <v>44</v>
      </c>
      <c r="C41" s="1">
        <f>[3]TAMARINEIRA!H39</f>
        <v>221.77777777777777</v>
      </c>
      <c r="D41" s="1">
        <f>[3]TAMARINEIRA!K39</f>
        <v>167.31818181818181</v>
      </c>
      <c r="E41" s="1">
        <f>[3]TAMARINEIRA!N39</f>
        <v>295.52173913043481</v>
      </c>
      <c r="F41" s="1">
        <f>[3]TAMARINEIRA!Q39</f>
        <v>416</v>
      </c>
      <c r="G41" s="1">
        <f>[3]TAMARINEIRA!T39</f>
        <v>176.04545454545453</v>
      </c>
      <c r="H41" s="1">
        <f>[3]TAMARINEIRA!W39</f>
        <v>184.08695652173913</v>
      </c>
      <c r="I41" s="1">
        <f>[3]TAMARINEIRA!Z39</f>
        <v>195.95833333333334</v>
      </c>
      <c r="J41" s="1">
        <f>[3]TAMARINEIRA!AC39</f>
        <v>118.21052631578948</v>
      </c>
      <c r="K41" s="1">
        <f>[3]TAMARINEIRA!AF39</f>
        <v>129.15</v>
      </c>
      <c r="L41" s="1">
        <f>[3]TAMARINEIRA!AI39</f>
        <v>214.66666666666666</v>
      </c>
      <c r="M41" s="1">
        <f>[3]TAMARINEIRA!AL39</f>
        <v>204.65217391304347</v>
      </c>
      <c r="N41" s="1">
        <f>[3]TAMARINEIRA!AO39</f>
        <v>251.375</v>
      </c>
      <c r="O41" s="1">
        <f>[3]TAMARINEIRA!AR39</f>
        <v>300.13043478260869</v>
      </c>
      <c r="P41" s="1">
        <f>[3]TAMARINEIRA!AU39</f>
        <v>212.4</v>
      </c>
      <c r="Q41" s="1">
        <f>[3]TAMARINEIRA!AX39</f>
        <v>327</v>
      </c>
      <c r="R41" s="1">
        <f>[3]TAMARINEIRA!BA39</f>
        <v>143.5</v>
      </c>
      <c r="S41" s="1">
        <f>[3]TAMARINEIRA!BD39</f>
        <v>191.1904761904762</v>
      </c>
      <c r="T41" s="1">
        <f>[3]TAMARINEIRA!BG39</f>
        <v>72.84210526315789</v>
      </c>
      <c r="U41" s="1">
        <f>[3]TAMARINEIRA!BJ39</f>
        <v>202.65</v>
      </c>
      <c r="V41" s="1" t="e">
        <f>[3]TAMARINEIRA!BM39</f>
        <v>#DIV/0!</v>
      </c>
      <c r="W41" s="1" t="e">
        <f>[3]TAMARINEIRA!BP39</f>
        <v>#DIV/0!</v>
      </c>
      <c r="X41" s="1" t="e">
        <f>[3]TAMARINEIRA!BS39</f>
        <v>#DIV/0!</v>
      </c>
      <c r="Y41" s="1" t="e">
        <f>[3]TAMARINEIRA!BV39</f>
        <v>#DIV/0!</v>
      </c>
      <c r="Z41" s="1" t="e">
        <f>[3]TAMARINEIRA!BY39</f>
        <v>#DIV/0!</v>
      </c>
      <c r="AA41" s="1" t="e">
        <f>[3]TAMARINEIRA!CB39</f>
        <v>#DIV/0!</v>
      </c>
      <c r="AB41" s="1" t="e">
        <f>[3]TAMARINEIRA!CE39</f>
        <v>#DIV/0!</v>
      </c>
      <c r="AC41">
        <f>[3]TAMARINEIRA!B41</f>
        <v>38</v>
      </c>
      <c r="AD41">
        <f>[3]TAMARINEIRA!B42</f>
        <v>21</v>
      </c>
      <c r="AE41">
        <f>[3]TAMARINEIRA!B43</f>
        <v>0</v>
      </c>
      <c r="AF41">
        <f>[3]TAMARINEIRA!B44</f>
        <v>0</v>
      </c>
      <c r="AG41">
        <f>[3]TAMARINEIRA!B45</f>
        <v>35</v>
      </c>
      <c r="AH41">
        <f>[3]TAMARINEIRA!$B$47</f>
        <v>25</v>
      </c>
      <c r="AI41">
        <f>[3]TAMARINEIRA!$B$48</f>
        <v>88327</v>
      </c>
    </row>
    <row r="42" spans="1:35" x14ac:dyDescent="0.25">
      <c r="A42" t="s">
        <v>56</v>
      </c>
      <c r="B42" t="s">
        <v>29</v>
      </c>
      <c r="C42" s="1">
        <f>[3]AFLITOS!H22</f>
        <v>246.25</v>
      </c>
      <c r="D42" s="1">
        <f>[3]AFLITOS!K22</f>
        <v>151.25</v>
      </c>
      <c r="E42" s="1">
        <f>[3]AFLITOS!N22</f>
        <v>243</v>
      </c>
      <c r="F42" s="1">
        <f>[3]AFLITOS!Q22</f>
        <v>350.25</v>
      </c>
      <c r="G42" s="1">
        <f>[3]AFLITOS!T22</f>
        <v>135.42857142857142</v>
      </c>
      <c r="H42" s="1">
        <f>[3]AFLITOS!W22</f>
        <v>368.42857142857144</v>
      </c>
      <c r="I42" s="1">
        <f>[3]AFLITOS!Z22</f>
        <v>461.14285714285717</v>
      </c>
      <c r="J42" s="1">
        <f>[3]AFLITOS!AC22</f>
        <v>194.375</v>
      </c>
      <c r="K42" s="1">
        <f>[3]AFLITOS!AF22</f>
        <v>97.142857142857139</v>
      </c>
      <c r="L42" s="1">
        <f>[3]AFLITOS!AI22</f>
        <v>265.5</v>
      </c>
      <c r="M42" s="1">
        <f>[3]AFLITOS!AL22</f>
        <v>226.25</v>
      </c>
      <c r="N42" s="1">
        <f>[3]AFLITOS!AO22</f>
        <v>370</v>
      </c>
      <c r="O42" s="1">
        <f>[3]AFLITOS!AR22</f>
        <v>194.57142857142858</v>
      </c>
      <c r="P42" s="1">
        <f>[3]AFLITOS!AU22</f>
        <v>221.57142857142858</v>
      </c>
      <c r="Q42" s="1">
        <f>[3]AFLITOS!AX22</f>
        <v>124.28571428571429</v>
      </c>
      <c r="R42" s="1">
        <f>[3]AFLITOS!BA22</f>
        <v>183.25</v>
      </c>
      <c r="S42" s="1">
        <f>[3]AFLITOS!BD22</f>
        <v>349.875</v>
      </c>
      <c r="T42" s="1">
        <f>[3]AFLITOS!BG22</f>
        <v>272.42857142857144</v>
      </c>
      <c r="U42" s="1">
        <f>[3]AFLITOS!BJ22</f>
        <v>218</v>
      </c>
      <c r="V42" s="1" t="e">
        <f>[3]AFLITOS!BM22</f>
        <v>#DIV/0!</v>
      </c>
      <c r="W42" s="1" t="e">
        <f>[3]AFLITOS!BP22</f>
        <v>#DIV/0!</v>
      </c>
      <c r="X42" s="1" t="e">
        <f>[3]AFLITOS!BS22</f>
        <v>#DIV/0!</v>
      </c>
      <c r="Y42" s="1" t="e">
        <f>[3]AFLITOS!BV22</f>
        <v>#DIV/0!</v>
      </c>
      <c r="Z42" s="1" t="e">
        <f>[3]AFLITOS!BY22</f>
        <v>#DIV/0!</v>
      </c>
      <c r="AA42" s="1" t="e">
        <f>[3]AFLITOS!CB22</f>
        <v>#DIV/0!</v>
      </c>
      <c r="AB42" s="1" t="e">
        <f>[3]AFLITOS!CE22</f>
        <v>#DIV/0!</v>
      </c>
      <c r="AC42">
        <f>[3]AFLITOS!B24</f>
        <v>5</v>
      </c>
      <c r="AD42">
        <f>[3]AFLITOS!B25</f>
        <v>2</v>
      </c>
      <c r="AE42">
        <f>[3]AFLITOS!B26</f>
        <v>0</v>
      </c>
      <c r="AF42">
        <f>[3]AFLITOS!B27</f>
        <v>0</v>
      </c>
      <c r="AG42">
        <f>[3]AFLITOS!B28</f>
        <v>4</v>
      </c>
      <c r="AH42">
        <f>[3]AFLITOS!$B$30</f>
        <v>8</v>
      </c>
      <c r="AI42">
        <f>[3]AFLITOS!$B$31</f>
        <v>35048</v>
      </c>
    </row>
    <row r="43" spans="1:35" x14ac:dyDescent="0.25">
      <c r="A43" t="s">
        <v>56</v>
      </c>
      <c r="B43" t="s">
        <v>36</v>
      </c>
      <c r="C43" s="1">
        <f>[3]ESPINHEIRO!H31</f>
        <v>236.1875</v>
      </c>
      <c r="D43" s="1">
        <f>[3]ESPINHEIRO!K31</f>
        <v>421.47058823529414</v>
      </c>
      <c r="E43" s="1">
        <f>[3]ESPINHEIRO!N31</f>
        <v>253.64705882352942</v>
      </c>
      <c r="F43" s="1">
        <f>[3]ESPINHEIRO!Q31</f>
        <v>572.9375</v>
      </c>
      <c r="G43" s="1">
        <f>[3]ESPINHEIRO!T31</f>
        <v>471.0625</v>
      </c>
      <c r="H43" s="1">
        <f>[3]ESPINHEIRO!W31</f>
        <v>491.625</v>
      </c>
      <c r="I43" s="1">
        <f>[3]ESPINHEIRO!Z31</f>
        <v>658</v>
      </c>
      <c r="J43" s="1">
        <f>[3]ESPINHEIRO!AC31</f>
        <v>294.64705882352939</v>
      </c>
      <c r="K43" s="1">
        <f>[3]ESPINHEIRO!AF31</f>
        <v>433.76470588235293</v>
      </c>
      <c r="L43" s="1">
        <f>[3]ESPINHEIRO!AI31</f>
        <v>406.41176470588238</v>
      </c>
      <c r="M43" s="1">
        <f>[3]ESPINHEIRO!AL31</f>
        <v>696.05882352941171</v>
      </c>
      <c r="N43" s="1">
        <f>[3]ESPINHEIRO!AO31</f>
        <v>933.11764705882354</v>
      </c>
      <c r="O43" s="1">
        <f>[3]ESPINHEIRO!AR31</f>
        <v>418.1875</v>
      </c>
      <c r="P43" s="1">
        <f>[3]ESPINHEIRO!AU31</f>
        <v>280.41176470588238</v>
      </c>
      <c r="Q43" s="1">
        <f>[3]ESPINHEIRO!AX31</f>
        <v>527.64705882352939</v>
      </c>
      <c r="R43" s="1">
        <f>[3]ESPINHEIRO!BA31</f>
        <v>617.64705882352939</v>
      </c>
      <c r="S43" s="1">
        <f>[3]ESPINHEIRO!BD31</f>
        <v>614.94117647058829</v>
      </c>
      <c r="T43" s="1">
        <f>[3]ESPINHEIRO!BG31</f>
        <v>258.92307692307691</v>
      </c>
      <c r="U43" s="1">
        <f>[3]ESPINHEIRO!BJ31</f>
        <v>189.33333333333334</v>
      </c>
      <c r="V43" s="1" t="e">
        <f>[3]ESPINHEIRO!BM31</f>
        <v>#DIV/0!</v>
      </c>
      <c r="W43" s="1" t="e">
        <f>[3]ESPINHEIRO!BP31</f>
        <v>#DIV/0!</v>
      </c>
      <c r="X43" s="1" t="e">
        <f>[3]ESPINHEIRO!BS31</f>
        <v>#DIV/0!</v>
      </c>
      <c r="Y43" s="1" t="e">
        <f>[3]ESPINHEIRO!BV31</f>
        <v>#DIV/0!</v>
      </c>
      <c r="Z43" s="1" t="e">
        <f>[3]ESPINHEIRO!BY31</f>
        <v>#DIV/0!</v>
      </c>
      <c r="AA43" s="1" t="e">
        <f>[3]ESPINHEIRO!CB31</f>
        <v>#DIV/0!</v>
      </c>
      <c r="AB43" s="1" t="e">
        <f>[3]ESPINHEIRO!CE31</f>
        <v>#DIV/0!</v>
      </c>
      <c r="AC43">
        <f>[3]ESPINHEIRO!B33</f>
        <v>9</v>
      </c>
      <c r="AD43">
        <f>[3]ESPINHEIRO!B34</f>
        <v>5</v>
      </c>
      <c r="AE43">
        <f>[3]ESPINHEIRO!B35</f>
        <v>0</v>
      </c>
      <c r="AF43">
        <f>[3]ESPINHEIRO!B36</f>
        <v>0</v>
      </c>
      <c r="AG43">
        <f>[3]ESPINHEIRO!B37</f>
        <v>0</v>
      </c>
      <c r="AH43">
        <f>[3]ESPINHEIRO!B39</f>
        <v>16</v>
      </c>
      <c r="AI43">
        <f>[3]ESPINHEIRO!B40</f>
        <v>145020</v>
      </c>
    </row>
    <row r="44" spans="1:35" x14ac:dyDescent="0.25">
      <c r="A44" t="s">
        <v>56</v>
      </c>
      <c r="B44" t="s">
        <v>38</v>
      </c>
      <c r="C44" s="1">
        <f>[3]JAQUEIRA!H19</f>
        <v>178</v>
      </c>
      <c r="D44" s="1">
        <f>[3]JAQUEIRA!K19</f>
        <v>120</v>
      </c>
      <c r="E44" s="1">
        <f>[3]JAQUEIRA!N19</f>
        <v>629.4</v>
      </c>
      <c r="F44" s="1">
        <f>[3]JAQUEIRA!Q19</f>
        <v>760.6</v>
      </c>
      <c r="G44" s="1">
        <f>[3]JAQUEIRA!T19</f>
        <v>112.2</v>
      </c>
      <c r="H44" s="1">
        <f>[3]JAQUEIRA!W19</f>
        <v>408.8</v>
      </c>
      <c r="I44" s="1">
        <f>[3]JAQUEIRA!Z19</f>
        <v>129.66666666666666</v>
      </c>
      <c r="J44" s="1">
        <f>[3]JAQUEIRA!AC19</f>
        <v>69.666666666666671</v>
      </c>
      <c r="K44" s="1">
        <f>[3]JAQUEIRA!AF19</f>
        <v>87</v>
      </c>
      <c r="L44" s="1">
        <f>[3]JAQUEIRA!AI19</f>
        <v>56.75</v>
      </c>
      <c r="M44" s="1">
        <f>[3]JAQUEIRA!AL19</f>
        <v>127.75</v>
      </c>
      <c r="N44" s="1">
        <f>[3]JAQUEIRA!AO19</f>
        <v>187.25</v>
      </c>
      <c r="O44" s="1">
        <f>[3]JAQUEIRA!AR19</f>
        <v>183</v>
      </c>
      <c r="P44" s="1">
        <f>[3]JAQUEIRA!AU19</f>
        <v>197.8</v>
      </c>
      <c r="Q44" s="1">
        <f>[3]JAQUEIRA!AX19</f>
        <v>276</v>
      </c>
      <c r="R44" s="1">
        <f>[3]JAQUEIRA!BA19</f>
        <v>85.25</v>
      </c>
      <c r="S44" s="1">
        <f>[3]JAQUEIRA!BD19</f>
        <v>181</v>
      </c>
      <c r="T44" s="1">
        <f>[3]JAQUEIRA!BG19</f>
        <v>14.5</v>
      </c>
      <c r="U44" s="1">
        <f>[3]JAQUEIRA!BJ19</f>
        <v>218.5</v>
      </c>
      <c r="V44" s="1" t="e">
        <f>[3]JAQUEIRA!BM19</f>
        <v>#DIV/0!</v>
      </c>
      <c r="W44" s="1" t="e">
        <f>[3]JAQUEIRA!BP19</f>
        <v>#DIV/0!</v>
      </c>
      <c r="X44" s="1" t="e">
        <f>[3]JAQUEIRA!BS19</f>
        <v>#DIV/0!</v>
      </c>
      <c r="Y44" s="1" t="e">
        <f>[3]JAQUEIRA!BV19</f>
        <v>#DIV/0!</v>
      </c>
      <c r="Z44" s="1" t="e">
        <f>[3]JAQUEIRA!BY19</f>
        <v>#DIV/0!</v>
      </c>
      <c r="AA44" s="1" t="e">
        <f>[3]JAQUEIRA!CB19</f>
        <v>#DIV/0!</v>
      </c>
      <c r="AB44" s="1" t="e">
        <f>[3]JAQUEIRA!CE19</f>
        <v>#DIV/0!</v>
      </c>
      <c r="AC44">
        <f>[3]JAQUEIRA!B21</f>
        <v>11</v>
      </c>
      <c r="AD44">
        <f>[3]JAQUEIRA!B22</f>
        <v>13</v>
      </c>
      <c r="AE44">
        <f>[3]JAQUEIRA!B23</f>
        <v>0</v>
      </c>
      <c r="AF44">
        <f>[3]JAQUEIRA!B24</f>
        <v>0</v>
      </c>
      <c r="AG44">
        <f>[3]JAQUEIRA!B25</f>
        <v>2</v>
      </c>
      <c r="AH44">
        <f>[3]JAQUEIRA!B27</f>
        <v>5</v>
      </c>
      <c r="AI44">
        <f>[3]JAQUEIRA!B28</f>
        <v>16753</v>
      </c>
    </row>
    <row r="45" spans="1:35" x14ac:dyDescent="0.25">
      <c r="A45" t="s">
        <v>56</v>
      </c>
      <c r="B45" t="s">
        <v>34</v>
      </c>
      <c r="C45" s="1">
        <f>[3]DERBY!H24</f>
        <v>147.30000000000001</v>
      </c>
      <c r="D45" s="1">
        <f>[3]DERBY!K24</f>
        <v>342.88888888888891</v>
      </c>
      <c r="E45" s="1">
        <f>[3]DERBY!N24</f>
        <v>184.88888888888889</v>
      </c>
      <c r="F45" s="1">
        <f>[3]DERBY!Q24</f>
        <v>432</v>
      </c>
      <c r="G45" s="1">
        <f>[3]DERBY!T24</f>
        <v>174.7</v>
      </c>
      <c r="H45" s="1">
        <f>[3]DERBY!W24</f>
        <v>198.9</v>
      </c>
      <c r="I45" s="1">
        <f>[3]DERBY!Z24</f>
        <v>439.4</v>
      </c>
      <c r="J45" s="1">
        <f>[3]DERBY!AC24</f>
        <v>271.10000000000002</v>
      </c>
      <c r="K45" s="1">
        <f>[3]DERBY!AF24</f>
        <v>144.33333333333334</v>
      </c>
      <c r="L45" s="1">
        <f>[3]DERBY!AI24</f>
        <v>307.10000000000002</v>
      </c>
      <c r="M45" s="1">
        <f>[3]DERBY!AL24</f>
        <v>479.9</v>
      </c>
      <c r="N45" s="1">
        <f>[3]DERBY!AO24</f>
        <v>328.7</v>
      </c>
      <c r="O45" s="1">
        <f>[3]DERBY!AR24</f>
        <v>290.10000000000002</v>
      </c>
      <c r="P45" s="1">
        <f>[3]DERBY!AU24</f>
        <v>181.8</v>
      </c>
      <c r="Q45" s="1">
        <f>[3]DERBY!AX24</f>
        <v>215.4</v>
      </c>
      <c r="R45" s="1">
        <f>[3]DERBY!BA24</f>
        <v>223.7</v>
      </c>
      <c r="S45" s="1">
        <f>[3]DERBY!BD24</f>
        <v>140.9</v>
      </c>
      <c r="T45" s="1">
        <f>[3]DERBY!BG24</f>
        <v>204</v>
      </c>
      <c r="U45" s="1">
        <f>[3]DERBY!BJ24</f>
        <v>199.1</v>
      </c>
      <c r="V45" s="1" t="e">
        <f>[3]DERBY!BM24</f>
        <v>#DIV/0!</v>
      </c>
      <c r="W45" s="1" t="e">
        <f>[3]DERBY!BP24</f>
        <v>#DIV/0!</v>
      </c>
      <c r="X45" s="1" t="e">
        <f>[3]DERBY!BS24</f>
        <v>#DIV/0!</v>
      </c>
      <c r="Y45" s="1" t="e">
        <f>[3]DERBY!BV24</f>
        <v>#DIV/0!</v>
      </c>
      <c r="Z45" s="1" t="e">
        <f>[3]DERBY!BY24</f>
        <v>#DIV/0!</v>
      </c>
      <c r="AA45" s="1" t="e">
        <f>[3]DERBY!CB24</f>
        <v>#DIV/0!</v>
      </c>
      <c r="AB45" s="1" t="e">
        <f>[3]DERBY!CE24</f>
        <v>#DIV/0!</v>
      </c>
      <c r="AC45">
        <f>[3]DERBY!B26</f>
        <v>0</v>
      </c>
      <c r="AD45">
        <f>[3]DERBY!B27</f>
        <v>2</v>
      </c>
      <c r="AE45">
        <f>[3]DERBY!B28</f>
        <v>0</v>
      </c>
      <c r="AF45">
        <f>[3]DERBY!B29</f>
        <v>0</v>
      </c>
      <c r="AG45">
        <f>[3]DERBY!B30</f>
        <v>0</v>
      </c>
      <c r="AH45">
        <f>[3]DERBY!$B$32</f>
        <v>10</v>
      </c>
      <c r="AI45">
        <f>[3]DERBY!$B$33</f>
        <v>48390</v>
      </c>
    </row>
    <row r="46" spans="1:35" x14ac:dyDescent="0.25">
      <c r="A46" t="s">
        <v>56</v>
      </c>
      <c r="B46" t="s">
        <v>37</v>
      </c>
      <c r="C46" s="1">
        <f>[3]GRAÇAS!H48</f>
        <v>149.25806451612902</v>
      </c>
      <c r="D46" s="1">
        <f>[3]GRAÇAS!K48</f>
        <v>209.06060606060606</v>
      </c>
      <c r="E46" s="1">
        <f>[3]GRAÇAS!N48</f>
        <v>189.03125</v>
      </c>
      <c r="F46" s="1">
        <f>[3]GRAÇAS!Q48</f>
        <v>280.70967741935482</v>
      </c>
      <c r="G46" s="1">
        <f>[3]GRAÇAS!T48</f>
        <v>109.7741935483871</v>
      </c>
      <c r="H46" s="1">
        <f>[3]GRAÇAS!W48</f>
        <v>187.03030303030303</v>
      </c>
      <c r="I46" s="1">
        <f>[3]GRAÇAS!Z48</f>
        <v>275.09090909090907</v>
      </c>
      <c r="J46" s="1">
        <f>[3]GRAÇAS!AC48</f>
        <v>105.51724137931035</v>
      </c>
      <c r="K46" s="1">
        <f>[3]GRAÇAS!AF48</f>
        <v>144.09090909090909</v>
      </c>
      <c r="L46" s="1">
        <f>[3]GRAÇAS!AI48</f>
        <v>154.625</v>
      </c>
      <c r="M46" s="1">
        <f>[3]GRAÇAS!AL48</f>
        <v>219.08823529411765</v>
      </c>
      <c r="N46" s="1">
        <f>[3]GRAÇAS!AO48</f>
        <v>132.19999999999999</v>
      </c>
      <c r="O46" s="1">
        <f>[3]GRAÇAS!AR48</f>
        <v>199.36666666666667</v>
      </c>
      <c r="P46" s="1">
        <f>[3]GRAÇAS!AU48</f>
        <v>168.96774193548387</v>
      </c>
      <c r="Q46" s="1">
        <f>[3]GRAÇAS!AX48</f>
        <v>232.33333333333334</v>
      </c>
      <c r="R46" s="1">
        <f>[3]GRAÇAS!BA48</f>
        <v>128.83870967741936</v>
      </c>
      <c r="S46" s="1">
        <f>[3]GRAÇAS!BD48</f>
        <v>186.53333333333333</v>
      </c>
      <c r="T46" s="1">
        <f>[3]GRAÇAS!BG48</f>
        <v>156.03571428571428</v>
      </c>
      <c r="U46" s="1">
        <f>[3]GRAÇAS!BJ48</f>
        <v>117.18518518518519</v>
      </c>
      <c r="V46" s="1" t="e">
        <f>[3]GRAÇAS!BM48</f>
        <v>#DIV/0!</v>
      </c>
      <c r="W46" s="1" t="e">
        <f>[3]GRAÇAS!BP48</f>
        <v>#DIV/0!</v>
      </c>
      <c r="X46" s="1" t="e">
        <f>[3]GRAÇAS!BS48</f>
        <v>#DIV/0!</v>
      </c>
      <c r="Y46" s="1" t="e">
        <f>[3]GRAÇAS!BV48</f>
        <v>#DIV/0!</v>
      </c>
      <c r="Z46" s="1" t="e">
        <f>[3]GRAÇAS!BY48</f>
        <v>#DIV/0!</v>
      </c>
      <c r="AA46" s="1" t="e">
        <f>[3]GRAÇAS!CB48</f>
        <v>#DIV/0!</v>
      </c>
      <c r="AB46" s="1" t="e">
        <f>[3]GRAÇAS!CE48</f>
        <v>#DIV/0!</v>
      </c>
      <c r="AC46">
        <f>[3]GRAÇAS!B50</f>
        <v>27</v>
      </c>
      <c r="AD46">
        <f>[3]GRAÇAS!B51</f>
        <v>20</v>
      </c>
      <c r="AE46">
        <f>[3]GRAÇAS!B52</f>
        <v>0</v>
      </c>
      <c r="AF46">
        <f>[3]GRAÇAS!B53</f>
        <v>0</v>
      </c>
      <c r="AG46">
        <f>[3]GRAÇAS!B54</f>
        <v>21</v>
      </c>
      <c r="AH46">
        <f>[3]GRAÇAS!$B$56</f>
        <v>34</v>
      </c>
      <c r="AI46">
        <f>[3]GRAÇAS!$B$57</f>
        <v>105117</v>
      </c>
    </row>
    <row r="47" spans="1:35" x14ac:dyDescent="0.25">
      <c r="A47" t="s">
        <v>57</v>
      </c>
      <c r="B47" t="s">
        <v>116</v>
      </c>
      <c r="C47" s="1">
        <f>'[4]V. CDU'!H57</f>
        <v>153.90697674418604</v>
      </c>
      <c r="D47" s="1">
        <f>'[4]V. CDU'!K57</f>
        <v>281.35714285714283</v>
      </c>
      <c r="E47" s="1">
        <f>'[4]V. CDU'!N57</f>
        <v>291.46511627906978</v>
      </c>
      <c r="F47" s="1">
        <f>'[4]V. CDU'!Q57</f>
        <v>404.27906976744185</v>
      </c>
      <c r="G47" s="1">
        <f>'[4]V. CDU'!T57</f>
        <v>190.28571428571428</v>
      </c>
      <c r="H47" s="1">
        <f>'[4]V. CDU'!W57</f>
        <v>282.95238095238096</v>
      </c>
      <c r="I47" s="1">
        <f>'[4]V. CDU'!Z57</f>
        <v>301.29268292682929</v>
      </c>
      <c r="J47" s="1">
        <f>'[4]V. CDU'!AC57</f>
        <v>158.97619047619048</v>
      </c>
      <c r="K47" s="1">
        <f>'[4]V. CDU'!AF57</f>
        <v>145.56410256410257</v>
      </c>
      <c r="L47" s="1">
        <f>'[4]V. CDU'!AI57</f>
        <v>256.48837209302326</v>
      </c>
      <c r="M47" s="1">
        <f>'[4]V. CDU'!AL57</f>
        <v>285.81395348837208</v>
      </c>
      <c r="N47" s="1">
        <f>'[4]V. CDU'!AO57</f>
        <v>228.19512195121951</v>
      </c>
      <c r="O47" s="1">
        <f>'[4]V. CDU'!AR57</f>
        <v>181.26190476190476</v>
      </c>
      <c r="P47" s="1">
        <f>'[4]V. CDU'!AU57</f>
        <v>195.70731707317074</v>
      </c>
      <c r="Q47" s="1">
        <f>'[4]V. CDU'!AX57</f>
        <v>182.4047619047619</v>
      </c>
      <c r="R47" s="1">
        <f>'[4]V. CDU'!BA57</f>
        <v>212.90697674418604</v>
      </c>
      <c r="S47" s="1">
        <f>'[4]V. CDU'!BD57</f>
        <v>104.20930232558139</v>
      </c>
      <c r="T47" s="1">
        <f>'[4]V. CDU'!BG57</f>
        <v>132.19512195121951</v>
      </c>
      <c r="U47" s="1">
        <f>'[4]V. CDU'!BJ57</f>
        <v>146.51219512195121</v>
      </c>
      <c r="V47" s="1" t="e">
        <f>'[4]V. CDU'!BM57</f>
        <v>#DIV/0!</v>
      </c>
      <c r="W47" s="1" t="e">
        <f>'[4]V. CDU'!BP57</f>
        <v>#DIV/0!</v>
      </c>
      <c r="X47" s="1" t="e">
        <f>'[4]V. CDU'!BS57</f>
        <v>#DIV/0!</v>
      </c>
      <c r="Y47" s="1" t="e">
        <f>'[4]V. CDU'!BV57</f>
        <v>#DIV/0!</v>
      </c>
      <c r="Z47" s="1" t="e">
        <f>'[4]V. CDU'!BY57</f>
        <v>#DIV/0!</v>
      </c>
      <c r="AA47" s="1" t="e">
        <f>'[4]V. CDU'!CB57</f>
        <v>#DIV/0!</v>
      </c>
      <c r="AB47" s="1" t="e">
        <f>'[4]V. CDU'!CE57</f>
        <v>#DIV/0!</v>
      </c>
      <c r="AC47">
        <f>'[4]V. CDU'!B59</f>
        <v>6</v>
      </c>
      <c r="AD47">
        <f>'[4]V. CDU'!$B60</f>
        <v>7</v>
      </c>
      <c r="AE47">
        <f>'[4]V. CDU'!$B61</f>
        <v>0</v>
      </c>
      <c r="AF47">
        <f>'[4]V. CDU'!$B62</f>
        <v>0</v>
      </c>
      <c r="AG47">
        <f>'[4]V. CDU'!$B63</f>
        <v>4</v>
      </c>
      <c r="AH47">
        <f>'[4]V. CDU'!$B65</f>
        <v>43</v>
      </c>
      <c r="AI47">
        <f>'[4]V. CDU'!$B66</f>
        <v>173971</v>
      </c>
    </row>
    <row r="48" spans="1:35" x14ac:dyDescent="0.25">
      <c r="A48" t="s">
        <v>57</v>
      </c>
      <c r="B48" t="s">
        <v>48</v>
      </c>
      <c r="C48" s="1">
        <f>'[4]V. BRASILIT'!H46</f>
        <v>349.06666666666666</v>
      </c>
      <c r="D48" s="1">
        <f>'[4]V. BRASILIT'!K46</f>
        <v>270.2</v>
      </c>
      <c r="E48" s="1">
        <f>'[4]V. BRASILIT'!N46</f>
        <v>168.54838709677421</v>
      </c>
      <c r="F48" s="1">
        <f>'[4]V. BRASILIT'!Q46</f>
        <v>386.1</v>
      </c>
      <c r="G48" s="1">
        <f>'[4]V. BRASILIT'!T46</f>
        <v>289.20689655172413</v>
      </c>
      <c r="H48" s="1">
        <f>'[4]V. BRASILIT'!W46</f>
        <v>363.03571428571428</v>
      </c>
      <c r="I48" s="1">
        <f>'[4]V. BRASILIT'!Z46</f>
        <v>264.03703703703701</v>
      </c>
      <c r="J48" s="1">
        <f>'[4]V. BRASILIT'!AC46</f>
        <v>233.31034482758622</v>
      </c>
      <c r="K48" s="1">
        <f>'[4]V. BRASILIT'!AF46</f>
        <v>182.76923076923077</v>
      </c>
      <c r="L48" s="1">
        <f>'[4]V. BRASILIT'!AI46</f>
        <v>303.85185185185185</v>
      </c>
      <c r="M48" s="1">
        <f>'[4]V. BRASILIT'!AL46</f>
        <v>369.41379310344826</v>
      </c>
      <c r="N48" s="1">
        <f>'[4]V. BRASILIT'!AO46</f>
        <v>301.88888888888891</v>
      </c>
      <c r="O48" s="1">
        <f>'[4]V. BRASILIT'!AR46</f>
        <v>191</v>
      </c>
      <c r="P48" s="1">
        <f>'[4]V. BRASILIT'!AU46</f>
        <v>249.5</v>
      </c>
      <c r="Q48" s="1">
        <f>'[4]V. BRASILIT'!AX46</f>
        <v>308.58064516129031</v>
      </c>
      <c r="R48" s="1">
        <f>'[4]V. BRASILIT'!BA46</f>
        <v>267.41379310344826</v>
      </c>
      <c r="S48" s="1">
        <f>'[4]V. BRASILIT'!BD46</f>
        <v>259.92592592592592</v>
      </c>
      <c r="T48" s="1">
        <f>'[4]V. BRASILIT'!BG46</f>
        <v>251.88</v>
      </c>
      <c r="U48" s="1">
        <f>'[4]V. BRASILIT'!BJ46</f>
        <v>193.16666666666666</v>
      </c>
      <c r="V48" s="1" t="e">
        <f>'[4]V. BRASILIT'!BM46</f>
        <v>#DIV/0!</v>
      </c>
      <c r="W48" s="1" t="e">
        <f>'[4]V. BRASILIT'!BP46</f>
        <v>#DIV/0!</v>
      </c>
      <c r="X48" s="1" t="e">
        <f>'[4]V. BRASILIT'!BS46</f>
        <v>#DIV/0!</v>
      </c>
      <c r="Y48" s="1" t="e">
        <f>'[4]V. BRASILIT'!BV46</f>
        <v>#DIV/0!</v>
      </c>
      <c r="Z48" s="1" t="e">
        <f>'[4]V. BRASILIT'!BY46</f>
        <v>#DIV/0!</v>
      </c>
      <c r="AA48" s="1" t="e">
        <f>'[4]V. BRASILIT'!CB46</f>
        <v>#DIV/0!</v>
      </c>
      <c r="AB48" s="1" t="e">
        <f>'[4]V. BRASILIT'!CE46</f>
        <v>#DIV/0!</v>
      </c>
      <c r="AC48">
        <f>'[4]V. BRASILIT'!B48</f>
        <v>40</v>
      </c>
      <c r="AD48">
        <f>'[4]V. BRASILIT'!B49</f>
        <v>24</v>
      </c>
      <c r="AE48">
        <f>'[4]V. BRASILIT'!B50</f>
        <v>4</v>
      </c>
      <c r="AF48">
        <f>'[4]V. BRASILIT'!B51</f>
        <v>0</v>
      </c>
      <c r="AG48">
        <f>'[4]V. BRASILIT'!B52</f>
        <v>40</v>
      </c>
      <c r="AH48">
        <f>'[4]V. BRASILIT'!$B$54</f>
        <v>32</v>
      </c>
      <c r="AI48">
        <f>'[4]V. BRASILIT'!$B$55</f>
        <v>147949</v>
      </c>
    </row>
    <row r="49" spans="1:35" x14ac:dyDescent="0.25">
      <c r="A49" t="s">
        <v>57</v>
      </c>
      <c r="B49" t="s">
        <v>49</v>
      </c>
      <c r="C49" s="1">
        <f>'[4]V. BAIXO'!H48</f>
        <v>190.78125</v>
      </c>
      <c r="D49" s="1">
        <f>'[4]V. BAIXO'!K48</f>
        <v>265.90909090909093</v>
      </c>
      <c r="E49" s="1">
        <f>'[4]V. BAIXO'!N48</f>
        <v>249.8125</v>
      </c>
      <c r="F49" s="1">
        <f>'[4]V. BAIXO'!Q48</f>
        <v>418.34375</v>
      </c>
      <c r="G49" s="1">
        <f>'[4]V. BAIXO'!T48</f>
        <v>218.68965517241378</v>
      </c>
      <c r="H49" s="1">
        <f>'[4]V. BAIXO'!W48</f>
        <v>264</v>
      </c>
      <c r="I49" s="1">
        <f>'[4]V. BAIXO'!Z48</f>
        <v>242.93548387096774</v>
      </c>
      <c r="J49" s="1">
        <f>'[4]V. BAIXO'!AC48</f>
        <v>124.83870967741936</v>
      </c>
      <c r="K49" s="1">
        <f>'[4]V. BAIXO'!AF48</f>
        <v>253.35483870967741</v>
      </c>
      <c r="L49" s="1">
        <f>'[4]V. BAIXO'!AI48</f>
        <v>283.15625</v>
      </c>
      <c r="M49" s="1">
        <f>'[4]V. BAIXO'!AL48</f>
        <v>305.09375</v>
      </c>
      <c r="N49" s="1">
        <f>'[4]V. BAIXO'!AO48</f>
        <v>148.51612903225808</v>
      </c>
      <c r="O49" s="1">
        <f>'[4]V. BAIXO'!AR48</f>
        <v>328</v>
      </c>
      <c r="P49" s="1">
        <f>'[4]V. BAIXO'!AU48</f>
        <v>312.80645161290323</v>
      </c>
      <c r="Q49" s="1">
        <f>'[4]V. BAIXO'!AX48</f>
        <v>333.54838709677421</v>
      </c>
      <c r="R49" s="1">
        <f>'[4]V. BAIXO'!BA48</f>
        <v>262.46875</v>
      </c>
      <c r="S49" s="1">
        <f>'[4]V. BAIXO'!BD48</f>
        <v>243.26470588235293</v>
      </c>
      <c r="T49" s="1">
        <f>'[4]V. BAIXO'!BG48</f>
        <v>167.15625</v>
      </c>
      <c r="U49" s="1">
        <f>'[4]V. BAIXO'!BJ48</f>
        <v>235.46875</v>
      </c>
      <c r="V49" s="1" t="e">
        <f>'[4]V. BAIXO'!BM48</f>
        <v>#DIV/0!</v>
      </c>
      <c r="W49" s="1" t="e">
        <f>'[4]V. BAIXO'!BP48</f>
        <v>#DIV/0!</v>
      </c>
      <c r="X49" s="1" t="e">
        <f>'[4]V. BAIXO'!BS48</f>
        <v>#DIV/0!</v>
      </c>
      <c r="Y49" s="1" t="e">
        <f>'[4]V. BAIXO'!BV48</f>
        <v>#DIV/0!</v>
      </c>
      <c r="Z49" s="1" t="e">
        <f>'[4]V. BAIXO'!BY48</f>
        <v>#DIV/0!</v>
      </c>
      <c r="AA49" s="1" t="e">
        <f>'[4]V. BAIXO'!CB48</f>
        <v>#DIV/0!</v>
      </c>
      <c r="AB49" s="1" t="e">
        <f>'[4]V. BAIXO'!CE48</f>
        <v>#DIV/0!</v>
      </c>
      <c r="AC49">
        <f>'[4]V. BAIXO'!B49</f>
        <v>31</v>
      </c>
      <c r="AD49">
        <f>'[4]V. BAIXO'!B50</f>
        <v>9</v>
      </c>
      <c r="AE49">
        <f>'[4]V. BAIXO'!B51</f>
        <v>2</v>
      </c>
      <c r="AF49">
        <f>'[4]V. BAIXO'!B52</f>
        <v>0</v>
      </c>
      <c r="AG49">
        <f>'[4]V. BAIXO'!B53</f>
        <v>15</v>
      </c>
      <c r="AH49">
        <f>'[4]V. BAIXO'!$B$55</f>
        <v>34</v>
      </c>
      <c r="AI49">
        <f>'[4]V. BAIXO'!$B$56</f>
        <v>153229</v>
      </c>
    </row>
    <row r="50" spans="1:35" x14ac:dyDescent="0.25">
      <c r="A50" t="s">
        <v>57</v>
      </c>
      <c r="B50" t="s">
        <v>50</v>
      </c>
      <c r="C50" s="1">
        <f>'[4]V. BARREIRAS'!H49</f>
        <v>164.9655172413793</v>
      </c>
      <c r="D50" s="1">
        <f>'[4]V. BARREIRAS'!K49</f>
        <v>315.44827586206895</v>
      </c>
      <c r="E50" s="1">
        <f>'[4]V. BARREIRAS'!N49</f>
        <v>322.11111111111109</v>
      </c>
      <c r="F50" s="1">
        <f>'[4]V. BARREIRAS'!Q49</f>
        <v>472.27586206896552</v>
      </c>
      <c r="G50" s="1">
        <f>'[4]V. BARREIRAS'!T49</f>
        <v>181.67857142857142</v>
      </c>
      <c r="H50" s="1">
        <f>'[4]V. BARREIRAS'!W49</f>
        <v>264.48148148148147</v>
      </c>
      <c r="I50" s="1">
        <f>'[4]V. BARREIRAS'!Z49</f>
        <v>290.64</v>
      </c>
      <c r="J50" s="1">
        <f>'[4]V. BARREIRAS'!AC49</f>
        <v>231.60714285714286</v>
      </c>
      <c r="K50" s="1">
        <f>'[4]V. BARREIRAS'!AF49</f>
        <v>141.63999999999999</v>
      </c>
      <c r="L50" s="1">
        <f>'[4]V. BARREIRAS'!AI49</f>
        <v>151.53846153846155</v>
      </c>
      <c r="M50" s="1">
        <f>'[4]V. BARREIRAS'!AL49</f>
        <v>275.375</v>
      </c>
      <c r="N50" s="1">
        <f>'[4]V. BARREIRAS'!AO49</f>
        <v>172.2</v>
      </c>
      <c r="O50" s="1">
        <f>'[4]V. BARREIRAS'!AR49</f>
        <v>352.11538461538464</v>
      </c>
      <c r="P50" s="1">
        <f>'[4]V. BARREIRAS'!AU49</f>
        <v>190.15625</v>
      </c>
      <c r="Q50" s="1">
        <f>'[4]V. BARREIRAS'!AX49</f>
        <v>310.46875</v>
      </c>
      <c r="R50" s="1">
        <f>'[4]V. BARREIRAS'!BA49</f>
        <v>187.66666666666666</v>
      </c>
      <c r="S50" s="1">
        <f>'[4]V. BARREIRAS'!BD49</f>
        <v>176.48387096774192</v>
      </c>
      <c r="T50" s="1">
        <f>'[4]V. BARREIRAS'!BG49</f>
        <v>213.88461538461539</v>
      </c>
      <c r="U50" s="1">
        <f>'[4]V. BARREIRAS'!BJ49</f>
        <v>296.25</v>
      </c>
      <c r="V50" s="1" t="e">
        <f>'[4]V. BARREIRAS'!BM49</f>
        <v>#DIV/0!</v>
      </c>
      <c r="W50" s="1" t="e">
        <f>'[4]V. BARREIRAS'!BP49</f>
        <v>#DIV/0!</v>
      </c>
      <c r="X50" s="1" t="e">
        <f>'[4]V. BARREIRAS'!BS49</f>
        <v>#DIV/0!</v>
      </c>
      <c r="Y50" s="1" t="e">
        <f>'[4]V. BARREIRAS'!BV49</f>
        <v>#DIV/0!</v>
      </c>
      <c r="Z50" s="1" t="e">
        <f>'[4]V. BARREIRAS'!BY49</f>
        <v>#DIV/0!</v>
      </c>
      <c r="AA50" s="1" t="e">
        <f>'[4]V. BARREIRAS'!CB49</f>
        <v>#DIV/0!</v>
      </c>
      <c r="AB50" s="1" t="e">
        <f>'[4]V. BARREIRAS'!CE49</f>
        <v>#DIV/0!</v>
      </c>
      <c r="AC50">
        <f>'[4]V. BARREIRAS'!B51</f>
        <v>85</v>
      </c>
      <c r="AD50">
        <f>'[4]V. BARREIRAS'!B52</f>
        <v>33</v>
      </c>
      <c r="AE50">
        <f>'[4]V. BARREIRAS'!B53</f>
        <v>3</v>
      </c>
      <c r="AF50">
        <f>'[4]V. BARREIRAS'!B54</f>
        <v>0</v>
      </c>
      <c r="AG50">
        <f>'[4]V. BARREIRAS'!B55</f>
        <v>36</v>
      </c>
      <c r="AH50">
        <f>'[4]V. BARREIRAS'!$B$57</f>
        <v>35</v>
      </c>
      <c r="AI50">
        <f>'[4]V. BARREIRAS'!$B$58</f>
        <v>133895</v>
      </c>
    </row>
    <row r="51" spans="1:35" x14ac:dyDescent="0.25">
      <c r="A51" t="s">
        <v>57</v>
      </c>
      <c r="B51" t="s">
        <v>51</v>
      </c>
      <c r="C51" s="1">
        <f>'[4]V. UR-7'!H90</f>
        <v>193.01538461538462</v>
      </c>
      <c r="D51" s="1">
        <f>'[4]V. UR-7'!K90</f>
        <v>212.56716417910448</v>
      </c>
      <c r="E51" s="1">
        <f>'[4]V. UR-7'!N90</f>
        <v>227.52238805970148</v>
      </c>
      <c r="F51" s="1">
        <f>'[4]V. UR-7'!Q90</f>
        <v>362.25352112676057</v>
      </c>
      <c r="G51" s="1">
        <f>'[4]V. UR-7'!T90</f>
        <v>262.90909090909093</v>
      </c>
      <c r="H51" s="1">
        <f>'[4]V. UR-7'!W90</f>
        <v>222.4375</v>
      </c>
      <c r="I51" s="1">
        <f>'[4]V. UR-7'!Z90</f>
        <v>270.19117647058823</v>
      </c>
      <c r="J51" s="1">
        <f>'[4]V. UR-7'!AC90</f>
        <v>157.2923076923077</v>
      </c>
      <c r="K51" s="1">
        <f>'[4]V. UR-7'!AF90</f>
        <v>178.79310344827587</v>
      </c>
      <c r="L51" s="1">
        <f>'[4]V. UR-7'!AI90</f>
        <v>169.875</v>
      </c>
      <c r="M51" s="1">
        <f>'[4]V. UR-7'!AL90</f>
        <v>214.3235294117647</v>
      </c>
      <c r="N51" s="1">
        <f>'[4]V. UR-7'!AO90</f>
        <v>122.78125</v>
      </c>
      <c r="O51" s="1">
        <f>'[4]V. UR-7'!AR90</f>
        <v>182.34848484848484</v>
      </c>
      <c r="P51" s="1">
        <f>'[4]V. UR-7'!AU90</f>
        <v>131.1764705882353</v>
      </c>
      <c r="Q51" s="1">
        <f>'[4]V. UR-7'!AX90</f>
        <v>189.18840579710144</v>
      </c>
      <c r="R51" s="1">
        <f>'[4]V. UR-7'!BA90</f>
        <v>126.70588235294117</v>
      </c>
      <c r="S51" s="1">
        <f>'[4]V. UR-7'!BD90</f>
        <v>145.43283582089552</v>
      </c>
      <c r="T51" s="1">
        <f>'[4]V. UR-7'!BG90</f>
        <v>114.0625</v>
      </c>
      <c r="U51" s="1">
        <f>'[4]V. UR-7'!BJ90</f>
        <v>109.36206896551724</v>
      </c>
      <c r="V51" s="1" t="e">
        <f>'[4]V. UR-7'!BM90</f>
        <v>#DIV/0!</v>
      </c>
      <c r="W51" s="1" t="e">
        <f>'[4]V. UR-7'!BP90</f>
        <v>#DIV/0!</v>
      </c>
      <c r="X51" s="1" t="e">
        <f>'[4]V. UR-7'!BS90</f>
        <v>#DIV/0!</v>
      </c>
      <c r="Y51" s="1" t="e">
        <f>'[4]V. UR-7'!BV90</f>
        <v>#DIV/0!</v>
      </c>
      <c r="Z51" s="1" t="e">
        <f>'[4]V. UR-7'!BY90</f>
        <v>#DIV/0!</v>
      </c>
      <c r="AA51" s="1" t="e">
        <f>'[4]V. UR-7'!CB90</f>
        <v>#DIV/0!</v>
      </c>
      <c r="AB51" s="1" t="e">
        <f>'[4]V. UR-7'!CE90</f>
        <v>#DIV/0!</v>
      </c>
      <c r="AC51">
        <f>'[4]V. UR-7'!B92</f>
        <v>114</v>
      </c>
      <c r="AD51">
        <f>'[4]V. UR-7'!B93</f>
        <v>68</v>
      </c>
      <c r="AE51">
        <f>'[4]V. UR-7'!B94</f>
        <v>4</v>
      </c>
      <c r="AF51">
        <f>'[4]V. UR-7'!B95</f>
        <v>0</v>
      </c>
      <c r="AG51">
        <f>'[4]V. UR-7'!B96</f>
        <v>85</v>
      </c>
      <c r="AH51">
        <f>'[4]V. UR-7'!$B$98</f>
        <v>76</v>
      </c>
      <c r="AI51">
        <f>'[4]V. UR-7'!$B$99</f>
        <v>237623</v>
      </c>
    </row>
    <row r="52" spans="1:35" x14ac:dyDescent="0.25">
      <c r="A52" t="s">
        <v>57</v>
      </c>
      <c r="B52" t="s">
        <v>45</v>
      </c>
      <c r="C52" s="1">
        <f>'[4]ILHA DO RETIRO'!H30</f>
        <v>170.2</v>
      </c>
      <c r="D52" s="1">
        <f>'[4]ILHA DO RETIRO'!K30</f>
        <v>246.64285714285714</v>
      </c>
      <c r="E52" s="1">
        <f>'[4]ILHA DO RETIRO'!N30</f>
        <v>247.38461538461539</v>
      </c>
      <c r="F52" s="1">
        <f>'[4]ILHA DO RETIRO'!Q30</f>
        <v>624</v>
      </c>
      <c r="G52" s="1">
        <f>'[4]ILHA DO RETIRO'!T30</f>
        <v>340</v>
      </c>
      <c r="H52" s="1">
        <f>'[4]ILHA DO RETIRO'!W30</f>
        <v>337.64285714285717</v>
      </c>
      <c r="I52" s="1">
        <f>'[4]ILHA DO RETIRO'!Z30</f>
        <v>215.84615384615384</v>
      </c>
      <c r="J52" s="1">
        <f>'[4]ILHA DO RETIRO'!AC30</f>
        <v>303.85714285714283</v>
      </c>
      <c r="K52" s="1">
        <f>'[4]ILHA DO RETIRO'!AF30</f>
        <v>225.1875</v>
      </c>
      <c r="L52" s="1">
        <f>'[4]ILHA DO RETIRO'!AI30</f>
        <v>337.57142857142856</v>
      </c>
      <c r="M52" s="1">
        <f>'[4]ILHA DO RETIRO'!AL30</f>
        <v>516.57142857142856</v>
      </c>
      <c r="N52" s="1">
        <f>'[4]ILHA DO RETIRO'!AO30</f>
        <v>443.06666666666666</v>
      </c>
      <c r="O52" s="1">
        <f>'[4]ILHA DO RETIRO'!AR30</f>
        <v>235</v>
      </c>
      <c r="P52" s="1">
        <f>'[4]ILHA DO RETIRO'!AU30</f>
        <v>266.08333333333331</v>
      </c>
      <c r="Q52" s="1">
        <f>'[4]ILHA DO RETIRO'!AX30</f>
        <v>297.53846153846155</v>
      </c>
      <c r="R52" s="1">
        <f>'[4]ILHA DO RETIRO'!BA30</f>
        <v>226.28571428571428</v>
      </c>
      <c r="S52" s="1">
        <f>'[4]ILHA DO RETIRO'!BD30</f>
        <v>161.28571428571428</v>
      </c>
      <c r="T52" s="1">
        <f>'[4]ILHA DO RETIRO'!BG30</f>
        <v>80.166666666666671</v>
      </c>
      <c r="U52" s="1">
        <f>'[4]ILHA DO RETIRO'!BJ30</f>
        <v>227.75</v>
      </c>
      <c r="V52" s="1" t="e">
        <f>'[4]ILHA DO RETIRO'!BM30</f>
        <v>#DIV/0!</v>
      </c>
      <c r="W52" s="1" t="e">
        <f>'[4]ILHA DO RETIRO'!BP30</f>
        <v>#DIV/0!</v>
      </c>
      <c r="X52" s="1" t="e">
        <f>'[4]ILHA DO RETIRO'!BS30</f>
        <v>#DIV/0!</v>
      </c>
      <c r="Y52" s="1" t="e">
        <f>'[4]ILHA DO RETIRO'!BV30</f>
        <v>#DIV/0!</v>
      </c>
      <c r="Z52" s="1" t="e">
        <f>'[4]ILHA DO RETIRO'!BY30</f>
        <v>#DIV/0!</v>
      </c>
      <c r="AA52" s="1" t="e">
        <f>'[4]ILHA DO RETIRO'!CB30</f>
        <v>#DIV/0!</v>
      </c>
      <c r="AB52" s="1" t="e">
        <f>'[4]ILHA DO RETIRO'!CE30</f>
        <v>#DIV/0!</v>
      </c>
      <c r="AC52">
        <f>'[4]ILHA DO RETIRO'!B32</f>
        <v>13</v>
      </c>
      <c r="AD52">
        <f>'[4]ILHA DO RETIRO'!B33</f>
        <v>23</v>
      </c>
      <c r="AE52">
        <f>'[4]ILHA DO RETIRO'!B34</f>
        <v>0</v>
      </c>
      <c r="AF52">
        <f>'[4]ILHA DO RETIRO'!B35</f>
        <v>0</v>
      </c>
      <c r="AG52">
        <f>'[4]ILHA DO RETIRO'!B36</f>
        <v>6</v>
      </c>
      <c r="AH52">
        <f>'[4]ILHA DO RETIRO'!$B$38</f>
        <v>16</v>
      </c>
      <c r="AI52">
        <f>'[4]ILHA DO RETIRO'!$B$39</f>
        <v>77200</v>
      </c>
    </row>
    <row r="53" spans="1:35" x14ac:dyDescent="0.25">
      <c r="A53" t="s">
        <v>57</v>
      </c>
      <c r="B53" t="s">
        <v>46</v>
      </c>
      <c r="C53" s="1">
        <f>[4]ZUMBI!H27</f>
        <v>166.54545454545453</v>
      </c>
      <c r="D53" s="1">
        <f>[4]ZUMBI!K27</f>
        <v>140.08333333333334</v>
      </c>
      <c r="E53" s="1">
        <f>[4]ZUMBI!N27</f>
        <v>235.38461538461539</v>
      </c>
      <c r="F53" s="1">
        <f>[4]ZUMBI!Q27</f>
        <v>225.55555555555554</v>
      </c>
      <c r="G53" s="1">
        <f>[4]ZUMBI!T27</f>
        <v>102.69230769230769</v>
      </c>
      <c r="H53" s="1">
        <f>[4]ZUMBI!W27</f>
        <v>194.54545454545453</v>
      </c>
      <c r="I53" s="1">
        <f>[4]ZUMBI!Z27</f>
        <v>158.5</v>
      </c>
      <c r="J53" s="1">
        <f>[4]ZUMBI!AC27</f>
        <v>134.07692307692307</v>
      </c>
      <c r="K53" s="1">
        <f>[4]ZUMBI!AF27</f>
        <v>181.45454545454547</v>
      </c>
      <c r="L53" s="1">
        <f>[4]ZUMBI!AI27</f>
        <v>202.83333333333334</v>
      </c>
      <c r="M53" s="1">
        <f>[4]ZUMBI!AL27</f>
        <v>224.58333333333334</v>
      </c>
      <c r="N53" s="1">
        <f>[4]ZUMBI!AO27</f>
        <v>210.41666666666666</v>
      </c>
      <c r="O53" s="1">
        <f>[4]ZUMBI!AR27</f>
        <v>282.45454545454544</v>
      </c>
      <c r="P53" s="1">
        <f>[4]ZUMBI!AU27</f>
        <v>212.75</v>
      </c>
      <c r="Q53" s="1">
        <f>[4]ZUMBI!AX27</f>
        <v>267.33333333333331</v>
      </c>
      <c r="R53" s="1">
        <f>[4]ZUMBI!BA27</f>
        <v>253.2</v>
      </c>
      <c r="S53" s="1">
        <f>[4]ZUMBI!BD27</f>
        <v>182.08333333333334</v>
      </c>
      <c r="T53" s="1">
        <f>[4]ZUMBI!BG27</f>
        <v>246.66666666666666</v>
      </c>
      <c r="U53" s="1">
        <f>[4]ZUMBI!BJ27</f>
        <v>125.66666666666667</v>
      </c>
      <c r="V53" s="1" t="e">
        <f>[4]ZUMBI!BM27</f>
        <v>#DIV/0!</v>
      </c>
      <c r="W53" s="1" t="e">
        <f>[4]ZUMBI!BP27</f>
        <v>#DIV/0!</v>
      </c>
      <c r="X53" s="1" t="e">
        <f>[4]ZUMBI!BS27</f>
        <v>#DIV/0!</v>
      </c>
      <c r="Y53" s="1" t="e">
        <f>[4]ZUMBI!BV27</f>
        <v>#DIV/0!</v>
      </c>
      <c r="Z53" s="1" t="e">
        <f>[4]ZUMBI!BY27</f>
        <v>#DIV/0!</v>
      </c>
      <c r="AA53" s="1" t="e">
        <f>[4]ZUMBI!CB27</f>
        <v>#DIV/0!</v>
      </c>
      <c r="AB53" s="1" t="e">
        <f>[4]ZUMBI!CE27</f>
        <v>#DIV/0!</v>
      </c>
      <c r="AC53">
        <f>[4]ZUMBI!B29</f>
        <v>11</v>
      </c>
      <c r="AD53">
        <f>[4]ZUMBI!B30</f>
        <v>11</v>
      </c>
      <c r="AE53">
        <f>[4]ZUMBI!B31</f>
        <v>0</v>
      </c>
      <c r="AF53">
        <f>[4]ZUMBI!B32</f>
        <v>0</v>
      </c>
      <c r="AG53">
        <f>[4]ZUMBI!B33</f>
        <v>15</v>
      </c>
      <c r="AH53">
        <f>[4]ZUMBI!$B$35</f>
        <v>13</v>
      </c>
      <c r="AI53">
        <f>[4]ZUMBI!$B$36</f>
        <v>43426</v>
      </c>
    </row>
    <row r="54" spans="1:35" x14ac:dyDescent="0.25">
      <c r="A54" t="s">
        <v>57</v>
      </c>
      <c r="B54" t="s">
        <v>47</v>
      </c>
      <c r="C54" s="1">
        <f>'[4]ENGENHO DO MEIO'!H38</f>
        <v>403.45</v>
      </c>
      <c r="D54" s="1">
        <f>'[4]ENGENHO DO MEIO'!K38</f>
        <v>455.33333333333331</v>
      </c>
      <c r="E54" s="1">
        <f>'[4]ENGENHO DO MEIO'!N38</f>
        <v>423.5</v>
      </c>
      <c r="F54" s="1">
        <f>'[4]ENGENHO DO MEIO'!Q38</f>
        <v>560.4545454545455</v>
      </c>
      <c r="G54" s="1">
        <f>'[4]ENGENHO DO MEIO'!T38</f>
        <v>508.04761904761904</v>
      </c>
      <c r="H54" s="1">
        <f>'[4]ENGENHO DO MEIO'!W38</f>
        <v>245.78947368421052</v>
      </c>
      <c r="I54" s="1">
        <f>'[4]ENGENHO DO MEIO'!Z38</f>
        <v>525.82608695652175</v>
      </c>
      <c r="J54" s="1">
        <f>'[4]ENGENHO DO MEIO'!AC38</f>
        <v>532.77272727272725</v>
      </c>
      <c r="K54" s="1">
        <f>'[4]ENGENHO DO MEIO'!AF38</f>
        <v>361.1904761904762</v>
      </c>
      <c r="L54" s="1">
        <f>'[4]ENGENHO DO MEIO'!AI38</f>
        <v>499.78260869565219</v>
      </c>
      <c r="M54" s="1">
        <f>'[4]ENGENHO DO MEIO'!AL38</f>
        <v>403.95454545454544</v>
      </c>
      <c r="N54" s="1">
        <f>'[4]ENGENHO DO MEIO'!AO38</f>
        <v>489.21739130434781</v>
      </c>
      <c r="O54" s="1">
        <f>'[4]ENGENHO DO MEIO'!AR38</f>
        <v>576.29166666666663</v>
      </c>
      <c r="P54" s="1">
        <f>'[4]ENGENHO DO MEIO'!AU38</f>
        <v>370.47619047619048</v>
      </c>
      <c r="Q54" s="1">
        <f>'[4]ENGENHO DO MEIO'!AX38</f>
        <v>513.95833333333337</v>
      </c>
      <c r="R54" s="1">
        <f>'[4]ENGENHO DO MEIO'!BA38</f>
        <v>297</v>
      </c>
      <c r="S54" s="1">
        <f>'[4]ENGENHO DO MEIO'!BD38</f>
        <v>385.66666666666669</v>
      </c>
      <c r="T54" s="1">
        <f>'[4]ENGENHO DO MEIO'!BG38</f>
        <v>235.63157894736841</v>
      </c>
      <c r="U54" s="1">
        <f>'[4]ENGENHO DO MEIO'!BJ38</f>
        <v>351.16666666666669</v>
      </c>
      <c r="V54" s="1" t="e">
        <f>'[4]ENGENHO DO MEIO'!BM38</f>
        <v>#DIV/0!</v>
      </c>
      <c r="W54" s="1" t="e">
        <f>'[4]ENGENHO DO MEIO'!BP38</f>
        <v>#DIV/0!</v>
      </c>
      <c r="X54" s="1" t="e">
        <f>'[4]ENGENHO DO MEIO'!BS38</f>
        <v>#DIV/0!</v>
      </c>
      <c r="Y54" s="1" t="e">
        <f>'[4]ENGENHO DO MEIO'!BV38</f>
        <v>#DIV/0!</v>
      </c>
      <c r="Z54" s="1" t="e">
        <f>'[4]ENGENHO DO MEIO'!BY38</f>
        <v>#DIV/0!</v>
      </c>
      <c r="AA54" s="1" t="e">
        <f>'[4]ENGENHO DO MEIO'!CB38</f>
        <v>#DIV/0!</v>
      </c>
      <c r="AB54" s="1" t="e">
        <f>'[4]ENGENHO DO MEIO'!CE38</f>
        <v>#DIV/0!</v>
      </c>
      <c r="AC54">
        <f>'[4]ENGENHO DO MEIO'!B40</f>
        <v>27</v>
      </c>
      <c r="AD54">
        <f>'[4]ENGENHO DO MEIO'!B41</f>
        <v>19</v>
      </c>
      <c r="AE54">
        <f>'[4]ENGENHO DO MEIO'!B42</f>
        <v>1</v>
      </c>
      <c r="AF54">
        <f>'[4]ENGENHO DO MEIO'!B43</f>
        <v>0</v>
      </c>
      <c r="AG54">
        <f>'[4]ENGENHO DO MEIO'!B44</f>
        <v>25</v>
      </c>
      <c r="AH54">
        <f>'[4]ENGENHO DO MEIO'!$B$46</f>
        <v>24</v>
      </c>
      <c r="AI54">
        <f>'[4]ENGENHO DO MEIO'!$B$47</f>
        <v>177028</v>
      </c>
    </row>
    <row r="55" spans="1:35" x14ac:dyDescent="0.25">
      <c r="A55" t="s">
        <v>58</v>
      </c>
      <c r="B55" t="s">
        <v>59</v>
      </c>
      <c r="C55" s="1">
        <f>[5]MANGUEIRA!H29</f>
        <v>167</v>
      </c>
      <c r="D55" s="1">
        <f>[5]MANGUEIRA!K29</f>
        <v>188.69230769230768</v>
      </c>
      <c r="E55" s="1">
        <f>[5]MANGUEIRA!N29</f>
        <v>362.84615384615387</v>
      </c>
      <c r="F55" s="1">
        <f>[5]MANGUEIRA!Q29</f>
        <v>297.92307692307691</v>
      </c>
      <c r="G55" s="1">
        <f>[5]MANGUEIRA!T29</f>
        <v>242.8</v>
      </c>
      <c r="H55" s="1">
        <f>[5]MANGUEIRA!W29</f>
        <v>298.75</v>
      </c>
      <c r="I55" s="1">
        <f>[5]MANGUEIRA!Z29</f>
        <v>300.16666666666669</v>
      </c>
      <c r="J55" s="1">
        <f>[5]MANGUEIRA!AC29</f>
        <v>270.33333333333331</v>
      </c>
      <c r="K55" s="1">
        <f>[5]MANGUEIRA!AF29</f>
        <v>180.53846153846155</v>
      </c>
      <c r="L55" s="1">
        <f>[5]MANGUEIRA!AI29</f>
        <v>94</v>
      </c>
      <c r="M55" s="1">
        <f>[5]MANGUEIRA!AL29</f>
        <v>640.36363636363637</v>
      </c>
      <c r="N55" s="1">
        <f>[5]MANGUEIRA!AO29</f>
        <v>386.58333333333331</v>
      </c>
      <c r="O55" s="1">
        <f>[5]MANGUEIRA!AR29</f>
        <v>289</v>
      </c>
      <c r="P55" s="1">
        <f>[5]MANGUEIRA!AU29</f>
        <v>249.81818181818181</v>
      </c>
      <c r="Q55" s="1">
        <f>[5]MANGUEIRA!AX29</f>
        <v>222.66666666666666</v>
      </c>
      <c r="R55" s="1">
        <f>[5]MANGUEIRA!BA29</f>
        <v>161.69999999999999</v>
      </c>
      <c r="S55" s="1">
        <f>[5]MANGUEIRA!BD29</f>
        <v>283.22222222222223</v>
      </c>
      <c r="T55" s="1">
        <f>[5]MANGUEIRA!BG29</f>
        <v>258.63636363636363</v>
      </c>
      <c r="U55" s="1" t="e">
        <f>[5]MANGUEIRA!BJ29</f>
        <v>#DIV/0!</v>
      </c>
      <c r="V55" s="1" t="e">
        <f>[5]MANGUEIRA!BM29</f>
        <v>#DIV/0!</v>
      </c>
      <c r="W55" s="1" t="e">
        <f>[5]MANGUEIRA!BP29</f>
        <v>#DIV/0!</v>
      </c>
      <c r="X55" s="1" t="e">
        <f>[5]MANGUEIRA!BS29</f>
        <v>#DIV/0!</v>
      </c>
      <c r="Y55" s="1" t="e">
        <f>[5]MANGUEIRA!BV29</f>
        <v>#DIV/0!</v>
      </c>
      <c r="Z55" s="1" t="e">
        <f>[5]MANGUEIRA!BY29</f>
        <v>#DIV/0!</v>
      </c>
      <c r="AA55" s="1" t="e">
        <f>[5]MANGUEIRA!CB29</f>
        <v>#DIV/0!</v>
      </c>
      <c r="AB55" s="1" t="e">
        <f>[5]MANGUEIRA!CE29</f>
        <v>#DIV/0!</v>
      </c>
      <c r="AC55">
        <f>[5]MANGUEIRA!B31</f>
        <v>47</v>
      </c>
      <c r="AD55">
        <f>[5]MANGUEIRA!B32</f>
        <v>14</v>
      </c>
      <c r="AE55">
        <f>[5]MANGUEIRA!B33</f>
        <v>1</v>
      </c>
      <c r="AF55">
        <f>[5]MANGUEIRA!B34</f>
        <v>0</v>
      </c>
      <c r="AG55">
        <f>[5]MANGUEIRA!B35</f>
        <v>29</v>
      </c>
      <c r="AH55">
        <f>[5]MANGUEIRA!$B$37</f>
        <v>15</v>
      </c>
      <c r="AI55">
        <f>[5]MANGUEIRA!$B$38</f>
        <v>56657</v>
      </c>
    </row>
    <row r="56" spans="1:35" x14ac:dyDescent="0.25">
      <c r="A56" t="s">
        <v>58</v>
      </c>
      <c r="B56" t="s">
        <v>60</v>
      </c>
      <c r="C56" s="1">
        <f>'[5]JARDIM SÃO PAULO I'!H46</f>
        <v>241.66666666666666</v>
      </c>
      <c r="D56" s="1">
        <f>'[5]JARDIM SÃO PAULO I'!K46</f>
        <v>245.67857142857142</v>
      </c>
      <c r="E56" s="1">
        <f>'[5]JARDIM SÃO PAULO I'!N46</f>
        <v>339.64285714285717</v>
      </c>
      <c r="F56" s="1">
        <f>'[5]JARDIM SÃO PAULO I'!Q46</f>
        <v>194.04</v>
      </c>
      <c r="G56" s="1">
        <f>'[5]JARDIM SÃO PAULO I'!T46</f>
        <v>233.46153846153845</v>
      </c>
      <c r="H56" s="1">
        <f>'[5]JARDIM SÃO PAULO I'!W46</f>
        <v>274.48</v>
      </c>
      <c r="I56" s="1">
        <f>'[5]JARDIM SÃO PAULO I'!Z46</f>
        <v>294.85185185185185</v>
      </c>
      <c r="J56" s="1">
        <f>'[5]JARDIM SÃO PAULO I'!AC46</f>
        <v>263.43333333333334</v>
      </c>
      <c r="K56" s="1">
        <f>'[5]JARDIM SÃO PAULO I'!AF46</f>
        <v>137.33333333333334</v>
      </c>
      <c r="L56" s="1">
        <f>'[5]JARDIM SÃO PAULO I'!AI46</f>
        <v>181.85185185185185</v>
      </c>
      <c r="M56" s="1">
        <f>'[5]JARDIM SÃO PAULO I'!AL46</f>
        <v>390.24</v>
      </c>
      <c r="N56" s="1">
        <f>'[5]JARDIM SÃO PAULO I'!AO46</f>
        <v>254.08695652173913</v>
      </c>
      <c r="O56" s="1">
        <f>'[5]JARDIM SÃO PAULO I'!AR46</f>
        <v>243.84</v>
      </c>
      <c r="P56" s="1">
        <f>'[5]JARDIM SÃO PAULO I'!AU46</f>
        <v>174</v>
      </c>
      <c r="Q56" s="1">
        <f>'[5]JARDIM SÃO PAULO I'!AX46</f>
        <v>330.07692307692309</v>
      </c>
      <c r="R56" s="1">
        <f>'[5]JARDIM SÃO PAULO I'!BA46</f>
        <v>201.19230769230768</v>
      </c>
      <c r="S56" s="1">
        <f>'[5]JARDIM SÃO PAULO I'!BD46</f>
        <v>258</v>
      </c>
      <c r="T56" s="1">
        <f>'[5]JARDIM SÃO PAULO I'!BG46</f>
        <v>196.45454545454547</v>
      </c>
      <c r="U56" s="1" t="e">
        <f>'[5]JARDIM SÃO PAULO I'!BJ46</f>
        <v>#DIV/0!</v>
      </c>
      <c r="V56" s="1" t="e">
        <f>'[5]JARDIM SÃO PAULO I'!BM46</f>
        <v>#DIV/0!</v>
      </c>
      <c r="W56" s="1" t="e">
        <f>'[5]JARDIM SÃO PAULO I'!BP46</f>
        <v>#DIV/0!</v>
      </c>
      <c r="X56" s="1" t="e">
        <f>'[5]JARDIM SÃO PAULO I'!BS46</f>
        <v>#DIV/0!</v>
      </c>
      <c r="Y56" s="1" t="e">
        <f>'[5]JARDIM SÃO PAULO I'!BV46</f>
        <v>#DIV/0!</v>
      </c>
      <c r="Z56" s="1" t="e">
        <f>'[5]JARDIM SÃO PAULO I'!BY46</f>
        <v>#DIV/0!</v>
      </c>
      <c r="AA56" s="1" t="e">
        <f>'[5]JARDIM SÃO PAULO I'!CB46</f>
        <v>#DIV/0!</v>
      </c>
      <c r="AB56" s="1" t="e">
        <f>'[5]JARDIM SÃO PAULO I'!CE46</f>
        <v>#DIV/0!</v>
      </c>
      <c r="AC56">
        <f>'[5]JARDIM SÃO PAULO I'!B48</f>
        <v>70</v>
      </c>
      <c r="AD56">
        <f>'[5]JARDIM SÃO PAULO I'!B49</f>
        <v>33</v>
      </c>
      <c r="AE56">
        <f>'[5]JARDIM SÃO PAULO I'!B50</f>
        <v>4</v>
      </c>
      <c r="AF56">
        <f>'[5]JARDIM SÃO PAULO I'!B51</f>
        <v>0</v>
      </c>
      <c r="AG56">
        <f>'[5]JARDIM SÃO PAULO I'!B52</f>
        <v>54</v>
      </c>
      <c r="AH56">
        <f>'[5]JARDIM SÃO PAULO I'!$B$54</f>
        <v>32</v>
      </c>
      <c r="AI56">
        <f>'[5]JARDIM SÃO PAULO I'!$B$55</f>
        <v>115746</v>
      </c>
    </row>
    <row r="57" spans="1:35" x14ac:dyDescent="0.25">
      <c r="A57" t="s">
        <v>58</v>
      </c>
      <c r="B57" t="s">
        <v>61</v>
      </c>
      <c r="C57" s="1">
        <f>'[5]JARDIM SÃO PAULO II'!H48</f>
        <v>204.5185185185185</v>
      </c>
      <c r="D57" s="1">
        <f>'[5]JARDIM SÃO PAULO II'!K48</f>
        <v>281.5151515151515</v>
      </c>
      <c r="E57" s="1">
        <f>'[5]JARDIM SÃO PAULO II'!N48</f>
        <v>254.1875</v>
      </c>
      <c r="F57" s="1">
        <f>'[5]JARDIM SÃO PAULO II'!Q48</f>
        <v>300.27272727272725</v>
      </c>
      <c r="G57" s="1">
        <f>'[5]JARDIM SÃO PAULO II'!T48</f>
        <v>192.85294117647058</v>
      </c>
      <c r="H57" s="1">
        <f>'[5]JARDIM SÃO PAULO II'!W48</f>
        <v>146.23529411764707</v>
      </c>
      <c r="I57" s="1">
        <f>'[5]JARDIM SÃO PAULO II'!Z48</f>
        <v>292.70588235294116</v>
      </c>
      <c r="J57" s="1">
        <f>'[5]JARDIM SÃO PAULO II'!AC48</f>
        <v>241.84848484848484</v>
      </c>
      <c r="K57" s="1">
        <f>'[5]JARDIM SÃO PAULO II'!AF48</f>
        <v>219.94117647058823</v>
      </c>
      <c r="L57" s="1">
        <f>'[5]JARDIM SÃO PAULO II'!AI48</f>
        <v>217.34375</v>
      </c>
      <c r="M57" s="1">
        <f>'[5]JARDIM SÃO PAULO II'!AL48</f>
        <v>160.85294117647058</v>
      </c>
      <c r="N57" s="1">
        <f>'[5]JARDIM SÃO PAULO II'!AO48</f>
        <v>376.09375</v>
      </c>
      <c r="O57" s="1">
        <f>'[5]JARDIM SÃO PAULO II'!AR48</f>
        <v>196.72727272727272</v>
      </c>
      <c r="P57" s="1">
        <f>'[5]JARDIM SÃO PAULO II'!AU48</f>
        <v>158.86666666666667</v>
      </c>
      <c r="Q57" s="1">
        <f>'[5]JARDIM SÃO PAULO II'!AX48</f>
        <v>217.45454545454547</v>
      </c>
      <c r="R57" s="1">
        <f>'[5]JARDIM SÃO PAULO II'!BA48</f>
        <v>246.61764705882354</v>
      </c>
      <c r="S57" s="1">
        <f>'[5]JARDIM SÃO PAULO II'!BD48</f>
        <v>172.78787878787878</v>
      </c>
      <c r="T57" s="1">
        <f>'[5]JARDIM SÃO PAULO II'!BG48</f>
        <v>184.96875</v>
      </c>
      <c r="U57" s="1" t="e">
        <f>'[5]JARDIM SÃO PAULO II'!BJ48</f>
        <v>#DIV/0!</v>
      </c>
      <c r="V57" s="1" t="e">
        <f>'[5]JARDIM SÃO PAULO II'!BM48</f>
        <v>#DIV/0!</v>
      </c>
      <c r="W57" s="1" t="e">
        <f>'[5]JARDIM SÃO PAULO II'!BP48</f>
        <v>#DIV/0!</v>
      </c>
      <c r="X57" s="1" t="e">
        <f>'[5]JARDIM SÃO PAULO II'!BS48</f>
        <v>#DIV/0!</v>
      </c>
      <c r="Y57" s="1" t="e">
        <f>'[5]JARDIM SÃO PAULO II'!BV48</f>
        <v>#DIV/0!</v>
      </c>
      <c r="Z57" s="1" t="e">
        <f>'[5]JARDIM SÃO PAULO II'!BY48</f>
        <v>#DIV/0!</v>
      </c>
      <c r="AA57" s="1" t="e">
        <f>'[5]JARDIM SÃO PAULO II'!CB48</f>
        <v>#DIV/0!</v>
      </c>
      <c r="AB57" s="1" t="e">
        <f>'[5]JARDIM SÃO PAULO II'!CE48</f>
        <v>#DIV/0!</v>
      </c>
      <c r="AC57">
        <f>'[5]JARDIM SÃO PAULO II'!B50</f>
        <v>10</v>
      </c>
      <c r="AD57">
        <f>'[5]JARDIM SÃO PAULO II'!B51</f>
        <v>7</v>
      </c>
      <c r="AE57">
        <f>'[5]JARDIM SÃO PAULO II'!B52</f>
        <v>0</v>
      </c>
      <c r="AF57">
        <f>'[5]JARDIM SÃO PAULO II'!B53</f>
        <v>0</v>
      </c>
      <c r="AG57">
        <f>'[5]JARDIM SÃO PAULO II'!B54</f>
        <v>5</v>
      </c>
      <c r="AH57">
        <f>'[5]JARDIM SÃO PAULO II'!$B$56</f>
        <v>34</v>
      </c>
      <c r="AI57">
        <f>'[5]JARDIM SÃO PAULO II'!$B$57</f>
        <v>132694</v>
      </c>
    </row>
    <row r="58" spans="1:35" x14ac:dyDescent="0.25">
      <c r="A58" t="s">
        <v>58</v>
      </c>
      <c r="B58" t="s">
        <v>62</v>
      </c>
      <c r="C58" s="1">
        <f>'[5]AFOGADOS I'!H32</f>
        <v>254</v>
      </c>
      <c r="D58" s="1">
        <f>'[5]AFOGADOS I'!K32</f>
        <v>422.30769230769232</v>
      </c>
      <c r="E58" s="1">
        <f>'[5]AFOGADOS I'!N32</f>
        <v>353</v>
      </c>
      <c r="F58" s="1">
        <f>'[5]AFOGADOS I'!Q32</f>
        <v>355.11764705882354</v>
      </c>
      <c r="G58" s="1">
        <f>'[5]AFOGADOS I'!T32</f>
        <v>274.5</v>
      </c>
      <c r="H58" s="1">
        <f>'[5]AFOGADOS I'!W32</f>
        <v>268.42857142857144</v>
      </c>
      <c r="I58" s="1">
        <f>'[5]AFOGADOS I'!Z32</f>
        <v>295.5</v>
      </c>
      <c r="J58" s="1">
        <f>'[5]AFOGADOS I'!AC32</f>
        <v>267.61111111111109</v>
      </c>
      <c r="K58" s="1">
        <f>'[5]AFOGADOS I'!AF32</f>
        <v>123.125</v>
      </c>
      <c r="L58" s="1">
        <f>'[5]AFOGADOS I'!AI32</f>
        <v>449.23076923076923</v>
      </c>
      <c r="M58" s="1">
        <f>'[5]AFOGADOS I'!AL32</f>
        <v>310.14285714285717</v>
      </c>
      <c r="N58" s="1">
        <f>'[5]AFOGADOS I'!AO32</f>
        <v>336</v>
      </c>
      <c r="O58" s="1">
        <f>'[5]AFOGADOS I'!AR32</f>
        <v>498.125</v>
      </c>
      <c r="P58" s="1">
        <f>'[5]AFOGADOS I'!AU32</f>
        <v>411.88235294117646</v>
      </c>
      <c r="Q58" s="1">
        <f>'[5]AFOGADOS I'!AX32</f>
        <v>493.26666666666665</v>
      </c>
      <c r="R58" s="1">
        <f>'[5]AFOGADOS I'!BA32</f>
        <v>260.125</v>
      </c>
      <c r="S58" s="1">
        <f>'[5]AFOGADOS I'!BD32</f>
        <v>323.85714285714283</v>
      </c>
      <c r="T58" s="1">
        <f>'[5]AFOGADOS I'!BG32</f>
        <v>213.66666666666666</v>
      </c>
      <c r="U58" s="1" t="e">
        <f>'[5]AFOGADOS I'!BJ32</f>
        <v>#DIV/0!</v>
      </c>
      <c r="V58" s="1" t="e">
        <f>'[5]AFOGADOS I'!BM32</f>
        <v>#DIV/0!</v>
      </c>
      <c r="W58" s="1" t="e">
        <f>'[5]AFOGADOS I'!BP32</f>
        <v>#DIV/0!</v>
      </c>
      <c r="X58" s="1" t="e">
        <f>'[5]AFOGADOS I'!BS32</f>
        <v>#DIV/0!</v>
      </c>
      <c r="Y58" s="1" t="e">
        <f>'[5]AFOGADOS I'!BV32</f>
        <v>#DIV/0!</v>
      </c>
      <c r="Z58" s="1" t="e">
        <f>'[5]AFOGADOS I'!BY32</f>
        <v>#DIV/0!</v>
      </c>
      <c r="AA58" s="1" t="e">
        <f>'[5]AFOGADOS I'!CB32</f>
        <v>#DIV/0!</v>
      </c>
      <c r="AB58" s="1" t="e">
        <f>'[5]AFOGADOS I'!CE32</f>
        <v>#DIV/0!</v>
      </c>
      <c r="AC58">
        <f>'[5]AFOGADOS I'!B34</f>
        <v>39</v>
      </c>
      <c r="AD58">
        <f>'[5]AFOGADOS I'!B35</f>
        <v>17</v>
      </c>
      <c r="AE58">
        <f>'[5]AFOGADOS I'!B36</f>
        <v>2</v>
      </c>
      <c r="AF58">
        <f>'[5]AFOGADOS I'!B37</f>
        <v>0</v>
      </c>
      <c r="AG58">
        <f>'[5]AFOGADOS I'!B38</f>
        <v>21</v>
      </c>
      <c r="AH58">
        <f>'[5]AFOGADOS I'!$B$40</f>
        <v>18</v>
      </c>
      <c r="AI58">
        <f>'[5]AFOGADOS I'!$B$41</f>
        <v>86953</v>
      </c>
    </row>
    <row r="59" spans="1:35" x14ac:dyDescent="0.25">
      <c r="A59" t="s">
        <v>58</v>
      </c>
      <c r="B59" t="s">
        <v>63</v>
      </c>
      <c r="C59" s="1">
        <f>'[5]AFOGADOS II '!H44</f>
        <v>187.26923076923077</v>
      </c>
      <c r="D59" s="1">
        <f>'[5]AFOGADOS II '!K44</f>
        <v>268.96296296296299</v>
      </c>
      <c r="E59" s="1">
        <f>'[5]AFOGADOS II '!N44</f>
        <v>378.55555555555554</v>
      </c>
      <c r="F59" s="1">
        <f>'[5]AFOGADOS II '!Q44</f>
        <v>299.11538461538464</v>
      </c>
      <c r="G59" s="1">
        <f>'[5]AFOGADOS II '!T44</f>
        <v>151.55172413793105</v>
      </c>
      <c r="H59" s="1">
        <f>'[5]AFOGADOS II '!W44</f>
        <v>262.88461538461536</v>
      </c>
      <c r="I59" s="1">
        <f>'[5]AFOGADOS II '!Z44</f>
        <v>264.76</v>
      </c>
      <c r="J59" s="1">
        <f>'[5]AFOGADOS II '!AC44</f>
        <v>315.83333333333331</v>
      </c>
      <c r="K59" s="1">
        <f>'[5]AFOGADOS II '!AF44</f>
        <v>177.82142857142858</v>
      </c>
      <c r="L59" s="1">
        <f>'[5]AFOGADOS II '!AI44</f>
        <v>275.61538461538464</v>
      </c>
      <c r="M59" s="1">
        <f>'[5]AFOGADOS II '!AL44</f>
        <v>425.15384615384613</v>
      </c>
      <c r="N59" s="1">
        <f>'[5]AFOGADOS II '!AO44</f>
        <v>297.36</v>
      </c>
      <c r="O59" s="1">
        <f>'[5]AFOGADOS II '!AR44</f>
        <v>303.28571428571428</v>
      </c>
      <c r="P59" s="1">
        <f>'[5]AFOGADOS II '!AU44</f>
        <v>309.22222222222223</v>
      </c>
      <c r="Q59" s="1">
        <f>'[5]AFOGADOS II '!AX44</f>
        <v>290.71428571428572</v>
      </c>
      <c r="R59" s="1">
        <f>'[5]AFOGADOS II '!BA44</f>
        <v>141.10344827586206</v>
      </c>
      <c r="S59" s="1">
        <f>'[5]AFOGADOS II '!BD44</f>
        <v>175.10344827586206</v>
      </c>
      <c r="T59" s="1">
        <f>'[5]AFOGADOS II '!BG44</f>
        <v>159</v>
      </c>
      <c r="U59" s="1" t="e">
        <f>'[5]AFOGADOS II '!BJ44</f>
        <v>#DIV/0!</v>
      </c>
      <c r="V59" s="1" t="e">
        <f>'[5]AFOGADOS II '!BM44</f>
        <v>#DIV/0!</v>
      </c>
      <c r="W59" s="1" t="e">
        <f>'[5]AFOGADOS II '!BP44</f>
        <v>#DIV/0!</v>
      </c>
      <c r="X59" s="1" t="e">
        <f>'[5]AFOGADOS II '!BS44</f>
        <v>#DIV/0!</v>
      </c>
      <c r="Y59" s="1" t="e">
        <f>'[5]AFOGADOS II '!BV44</f>
        <v>#DIV/0!</v>
      </c>
      <c r="Z59" s="1" t="e">
        <f>'[5]AFOGADOS II '!BY44</f>
        <v>#DIV/0!</v>
      </c>
      <c r="AA59" s="1" t="e">
        <f>'[5]AFOGADOS II '!CB44</f>
        <v>#DIV/0!</v>
      </c>
      <c r="AB59" s="1" t="e">
        <f>'[5]AFOGADOS II '!CE44</f>
        <v>#DIV/0!</v>
      </c>
      <c r="AC59">
        <f>'[5]AFOGADOS II '!B46</f>
        <v>33</v>
      </c>
      <c r="AD59">
        <f>'[5]AFOGADOS II '!B47</f>
        <v>21</v>
      </c>
      <c r="AE59">
        <f>'[5]AFOGADOS II '!B48</f>
        <v>3</v>
      </c>
      <c r="AF59">
        <f>'[5]AFOGADOS II '!B49</f>
        <v>0</v>
      </c>
      <c r="AG59">
        <f>'[5]AFOGADOS II '!B50</f>
        <v>30</v>
      </c>
      <c r="AH59">
        <f>'[5]AFOGADOS II '!$B$52</f>
        <v>30</v>
      </c>
      <c r="AI59">
        <f>'[5]AFOGADOS II '!$B$53</f>
        <v>124476</v>
      </c>
    </row>
    <row r="60" spans="1:35" x14ac:dyDescent="0.25">
      <c r="A60" t="s">
        <v>58</v>
      </c>
      <c r="B60" t="s">
        <v>64</v>
      </c>
      <c r="C60" s="1">
        <f>'[5]AFOGADOS III'!H50</f>
        <v>245.25925925925927</v>
      </c>
      <c r="D60" s="1">
        <f>'[5]AFOGADOS III'!K50</f>
        <v>351</v>
      </c>
      <c r="E60" s="1">
        <f>'[5]AFOGADOS III'!N50</f>
        <v>206.0625</v>
      </c>
      <c r="F60" s="1">
        <f>'[5]AFOGADOS III'!Q50</f>
        <v>439.32258064516128</v>
      </c>
      <c r="G60" s="1">
        <f>'[5]AFOGADOS III'!T50</f>
        <v>253.5</v>
      </c>
      <c r="H60" s="1">
        <f>'[5]AFOGADOS III'!W50</f>
        <v>242.37931034482759</v>
      </c>
      <c r="I60" s="1">
        <f>'[5]AFOGADOS III'!Z50</f>
        <v>410.75</v>
      </c>
      <c r="J60" s="1">
        <f>'[5]AFOGADOS III'!AC50</f>
        <v>239.80769230769232</v>
      </c>
      <c r="K60" s="1">
        <f>'[5]AFOGADOS III'!AF50</f>
        <v>262.64285714285717</v>
      </c>
      <c r="L60" s="1">
        <f>'[5]AFOGADOS III'!AI50</f>
        <v>297.85714285714283</v>
      </c>
      <c r="M60" s="1">
        <f>'[5]AFOGADOS III'!AL50</f>
        <v>327.65517241379308</v>
      </c>
      <c r="N60" s="1">
        <f>'[5]AFOGADOS III'!AO50</f>
        <v>415.46666666666664</v>
      </c>
      <c r="O60" s="1">
        <f>'[5]AFOGADOS III'!AR50</f>
        <v>304.21212121212119</v>
      </c>
      <c r="P60" s="1">
        <f>'[5]AFOGADOS III'!AU50</f>
        <v>263.09677419354841</v>
      </c>
      <c r="Q60" s="1">
        <f>'[5]AFOGADOS III'!AX50</f>
        <v>273.53571428571428</v>
      </c>
      <c r="R60" s="1">
        <f>'[5]AFOGADOS III'!BA50</f>
        <v>240.40625</v>
      </c>
      <c r="S60" s="1">
        <f>'[5]AFOGADOS III'!BD50</f>
        <v>244.96774193548387</v>
      </c>
      <c r="T60" s="1">
        <f>'[5]AFOGADOS III'!BG50</f>
        <v>169.33333333333334</v>
      </c>
      <c r="U60" s="1" t="e">
        <f>'[5]AFOGADOS III'!BJ50</f>
        <v>#DIV/0!</v>
      </c>
      <c r="V60" s="1" t="e">
        <f>'[5]AFOGADOS III'!BM50</f>
        <v>#DIV/0!</v>
      </c>
      <c r="W60" s="1" t="e">
        <f>'[5]AFOGADOS III'!BP50</f>
        <v>#DIV/0!</v>
      </c>
      <c r="X60" s="1" t="e">
        <f>'[5]AFOGADOS III'!BS50</f>
        <v>#DIV/0!</v>
      </c>
      <c r="Y60" s="1" t="e">
        <f>'[5]AFOGADOS III'!BV50</f>
        <v>#DIV/0!</v>
      </c>
      <c r="Z60" s="1" t="e">
        <f>'[5]AFOGADOS III'!BY50</f>
        <v>#DIV/0!</v>
      </c>
      <c r="AA60" s="1" t="e">
        <f>'[5]AFOGADOS III'!CB50</f>
        <v>#DIV/0!</v>
      </c>
      <c r="AB60" s="1" t="e">
        <f>'[5]AFOGADOS III'!CE50</f>
        <v>#DIV/0!</v>
      </c>
      <c r="AC60">
        <f>'[5]AFOGADOS III'!B52</f>
        <v>79</v>
      </c>
      <c r="AD60">
        <f>'[5]AFOGADOS III'!B53</f>
        <v>24</v>
      </c>
      <c r="AE60">
        <f>'[5]AFOGADOS III'!B54</f>
        <v>4</v>
      </c>
      <c r="AF60">
        <f>'[5]AFOGADOS III'!B55</f>
        <v>0</v>
      </c>
      <c r="AG60">
        <f>'[5]AFOGADOS III'!B56</f>
        <v>30</v>
      </c>
      <c r="AH60">
        <f>'[5]AFOGADOS III'!$B$58</f>
        <v>36</v>
      </c>
      <c r="AI60">
        <f>'[5]AFOGADOS III'!$B$59</f>
        <v>154669</v>
      </c>
    </row>
    <row r="61" spans="1:35" x14ac:dyDescent="0.25">
      <c r="A61" t="s">
        <v>58</v>
      </c>
      <c r="B61" t="s">
        <v>126</v>
      </c>
      <c r="C61" s="1">
        <f>'[5]BARRO II'!$H$36</f>
        <v>129.27272727272728</v>
      </c>
      <c r="D61" s="1">
        <f>'[5]BARRO II'!$K$36</f>
        <v>162.09090909090909</v>
      </c>
      <c r="E61" s="1">
        <f>'[5]BARRO II'!N36</f>
        <v>266</v>
      </c>
      <c r="F61" s="1">
        <f>'[5]BARRO II'!Q36</f>
        <v>280.09090909090907</v>
      </c>
      <c r="G61" s="1">
        <f>'[5]BARRO II'!T36</f>
        <v>254.45454545454547</v>
      </c>
      <c r="H61" s="1">
        <f>'[5]BARRO II'!W36</f>
        <v>158.59090909090909</v>
      </c>
      <c r="I61" s="1">
        <f>'[5]BARRO II'!$Z$36</f>
        <v>181.3</v>
      </c>
      <c r="J61" s="1">
        <f>'[5]BARRO II'!$AC$36</f>
        <v>165.81818181818181</v>
      </c>
      <c r="K61" s="1">
        <f>'[5]BARRO II'!$AF$36</f>
        <v>161.13636363636363</v>
      </c>
      <c r="L61" s="1">
        <f>'[5]BARRO II'!$AI$36</f>
        <v>162.38095238095238</v>
      </c>
      <c r="M61" s="1">
        <f>'[5]BARRO II'!$AL$36</f>
        <v>169.59090909090909</v>
      </c>
      <c r="N61" s="1">
        <f>'[5]BARRO II'!$AO$36</f>
        <v>119.875</v>
      </c>
      <c r="O61" s="1">
        <f>'[5]BARRO II'!$AR$36</f>
        <v>195.85714285714286</v>
      </c>
      <c r="P61" s="1">
        <f>'[5]BARRO II'!$AU$36</f>
        <v>198.36363636363637</v>
      </c>
      <c r="Q61" s="1">
        <f>'[5]BARRO II'!$AX$36</f>
        <v>104.36363636363636</v>
      </c>
      <c r="R61" s="1">
        <f>'[5]BARRO II'!$BA$36</f>
        <v>120.5</v>
      </c>
      <c r="S61" s="1">
        <f>'[5]BARRO II'!$BD$36</f>
        <v>113.15</v>
      </c>
      <c r="T61" s="1">
        <f>'[5]BARRO II'!$BG$36</f>
        <v>132.95238095238096</v>
      </c>
      <c r="U61" s="1" t="e">
        <f>'[5]BARRO II'!$BJ$36</f>
        <v>#DIV/0!</v>
      </c>
      <c r="V61" s="1" t="e">
        <f>'[5]BARRO II'!$BM$36</f>
        <v>#DIV/0!</v>
      </c>
      <c r="W61" s="1" t="e">
        <f>'[5]BARRO II'!$BP$36</f>
        <v>#DIV/0!</v>
      </c>
      <c r="X61" s="1" t="e">
        <f>'[5]BARRO II'!$BS$36</f>
        <v>#DIV/0!</v>
      </c>
      <c r="Y61" s="1" t="e">
        <f>'[5]BARRO II'!$BV$36</f>
        <v>#DIV/0!</v>
      </c>
      <c r="Z61" s="1" t="e">
        <f>'[5]BARRO II'!$BY$36</f>
        <v>#DIV/0!</v>
      </c>
      <c r="AA61" s="1" t="e">
        <f>'[5]BARRO II'!$CB$36</f>
        <v>#DIV/0!</v>
      </c>
      <c r="AB61" s="1" t="e">
        <f>'[5]BARRO II'!$CE$36</f>
        <v>#DIV/0!</v>
      </c>
      <c r="AC61">
        <f>'[5]BARRO II'!$B$38</f>
        <v>4</v>
      </c>
      <c r="AD61">
        <f>'[5]BARRO II'!$B$39</f>
        <v>0</v>
      </c>
      <c r="AE61">
        <f>'[5]BARRO II'!$B$41</f>
        <v>0</v>
      </c>
      <c r="AF61">
        <f>'[5]BARRO II'!$B$41</f>
        <v>0</v>
      </c>
      <c r="AG61">
        <f>'[5]BARRO II'!$B$42</f>
        <v>7</v>
      </c>
      <c r="AH61">
        <f>'[5]BARRO II'!$B$44</f>
        <v>22</v>
      </c>
      <c r="AI61">
        <f>'[5]BARRO II'!$B$45</f>
        <v>65386</v>
      </c>
    </row>
    <row r="62" spans="1:35" x14ac:dyDescent="0.25">
      <c r="A62" t="s">
        <v>65</v>
      </c>
      <c r="B62" t="s">
        <v>66</v>
      </c>
      <c r="C62" s="1">
        <f>[6]PINA!H62</f>
        <v>374.52173913043481</v>
      </c>
      <c r="D62" s="1">
        <f>[6]PINA!K62</f>
        <v>351.6</v>
      </c>
      <c r="E62" s="1">
        <f>[6]PINA!N62</f>
        <v>401.70212765957444</v>
      </c>
      <c r="F62" s="1">
        <f>[6]PINA!Q62</f>
        <v>346.91666666666669</v>
      </c>
      <c r="G62" s="1">
        <f>[6]PINA!T62</f>
        <v>168.29166666666666</v>
      </c>
      <c r="H62" s="1">
        <f>[6]PINA!W62</f>
        <v>272.65957446808511</v>
      </c>
      <c r="I62" s="1">
        <f>[6]PINA!Z62</f>
        <v>338.26086956521738</v>
      </c>
      <c r="J62" s="1">
        <f>[6]PINA!AC62</f>
        <v>263.20833333333331</v>
      </c>
      <c r="K62" s="1">
        <f>[6]PINA!AF62</f>
        <v>85.041666666666671</v>
      </c>
      <c r="L62" s="1">
        <f>[6]PINA!AI62</f>
        <v>354.43478260869563</v>
      </c>
      <c r="M62" s="1">
        <f>[6]PINA!AL62</f>
        <v>422.43478260869563</v>
      </c>
      <c r="N62" s="1">
        <f>[6]PINA!AO62</f>
        <v>282.57777777777778</v>
      </c>
      <c r="O62" s="1">
        <f>[6]PINA!AR62</f>
        <v>317.57777777777778</v>
      </c>
      <c r="P62" s="1">
        <f>[6]PINA!AU62</f>
        <v>267.34090909090907</v>
      </c>
      <c r="Q62" s="1">
        <f>[6]PINA!AX62</f>
        <v>363.15909090909093</v>
      </c>
      <c r="R62" s="1">
        <f>[6]PINA!BA62</f>
        <v>288.60869565217394</v>
      </c>
      <c r="S62" s="1">
        <f>[6]PINA!BD62</f>
        <v>276.84444444444443</v>
      </c>
      <c r="T62" s="1">
        <f>[6]PINA!BG62</f>
        <v>242.95454545454547</v>
      </c>
      <c r="U62" s="1" t="e">
        <f>[6]PINA!BJ62</f>
        <v>#DIV/0!</v>
      </c>
      <c r="V62" s="1" t="e">
        <f>[6]PINA!BM62</f>
        <v>#DIV/0!</v>
      </c>
      <c r="W62" s="1" t="e">
        <f>[6]PINA!BP62</f>
        <v>#DIV/0!</v>
      </c>
      <c r="X62" s="1" t="e">
        <f>[6]PINA!BS62</f>
        <v>#DIV/0!</v>
      </c>
      <c r="Y62" s="1" t="e">
        <f>[6]PINA!BV62</f>
        <v>#DIV/0!</v>
      </c>
      <c r="Z62" s="1" t="e">
        <f>[6]PINA!BY62</f>
        <v>#DIV/0!</v>
      </c>
      <c r="AA62" s="1" t="e">
        <f>[6]PINA!CB62</f>
        <v>#DIV/0!</v>
      </c>
      <c r="AB62" s="1" t="e">
        <f>[6]PINA!CE62</f>
        <v>#DIV/0!</v>
      </c>
      <c r="AC62">
        <f>[6]PINA!B64</f>
        <v>18</v>
      </c>
      <c r="AD62">
        <f>[6]PINA!B65</f>
        <v>10</v>
      </c>
      <c r="AE62">
        <f>[6]PINA!B66</f>
        <v>0</v>
      </c>
      <c r="AF62">
        <f>[6]PINA!B67</f>
        <v>0</v>
      </c>
      <c r="AG62">
        <f>[6]PINA!B68</f>
        <v>14</v>
      </c>
      <c r="AH62">
        <f>[6]PINA!$B$70</f>
        <v>48</v>
      </c>
      <c r="AI62">
        <f>[6]PINA!$B$71</f>
        <v>248660</v>
      </c>
    </row>
    <row r="63" spans="1:35" x14ac:dyDescent="0.25">
      <c r="A63" t="s">
        <v>65</v>
      </c>
      <c r="B63" t="s">
        <v>67</v>
      </c>
      <c r="C63" s="1">
        <f>[6]BRASÍLIA!H50</f>
        <v>168.17142857142858</v>
      </c>
      <c r="D63" s="1">
        <f>[6]BRASÍLIA!K50</f>
        <v>162.21875</v>
      </c>
      <c r="E63" s="1">
        <f>[6]BRASÍLIA!N50</f>
        <v>352.45161290322579</v>
      </c>
      <c r="F63" s="1">
        <f>[6]BRASÍLIA!Q50</f>
        <v>346.1875</v>
      </c>
      <c r="G63" s="1">
        <f>[6]BRASÍLIA!T50</f>
        <v>148.60606060606059</v>
      </c>
      <c r="H63" s="1">
        <f>[6]BRASÍLIA!W50</f>
        <v>269.23529411764707</v>
      </c>
      <c r="I63" s="1">
        <f>[6]BRASÍLIA!Z50</f>
        <v>357</v>
      </c>
      <c r="J63" s="1">
        <f>[6]BRASÍLIA!AC50</f>
        <v>234.27272727272728</v>
      </c>
      <c r="K63" s="1">
        <f>[6]BRASÍLIA!AF50</f>
        <v>170.84848484848484</v>
      </c>
      <c r="L63" s="1">
        <f>[6]BRASÍLIA!AI50</f>
        <v>285.14705882352939</v>
      </c>
      <c r="M63" s="1">
        <f>[6]BRASÍLIA!AL50</f>
        <v>294.53125</v>
      </c>
      <c r="N63" s="1">
        <f>[6]BRASÍLIA!AO50</f>
        <v>280.625</v>
      </c>
      <c r="O63" s="1">
        <f>[6]BRASÍLIA!AR50</f>
        <v>233.03125</v>
      </c>
      <c r="P63" s="1">
        <f>[6]BRASÍLIA!AU50</f>
        <v>153.4848484848485</v>
      </c>
      <c r="Q63" s="1">
        <f>[6]BRASÍLIA!AX50</f>
        <v>212.91428571428571</v>
      </c>
      <c r="R63" s="1">
        <f>[6]BRASÍLIA!BA50</f>
        <v>246.6</v>
      </c>
      <c r="S63" s="1">
        <f>[6]BRASÍLIA!BD50</f>
        <v>223.97222222222223</v>
      </c>
      <c r="T63" s="1">
        <f>[6]BRASÍLIA!BG50</f>
        <v>248.02857142857144</v>
      </c>
      <c r="U63" s="1" t="e">
        <f>[6]BRASÍLIA!BJ50</f>
        <v>#DIV/0!</v>
      </c>
      <c r="V63" s="1" t="e">
        <f>[6]BRASÍLIA!BM50</f>
        <v>#DIV/0!</v>
      </c>
      <c r="W63" s="1" t="e">
        <f>[6]BRASÍLIA!BP50</f>
        <v>#DIV/0!</v>
      </c>
      <c r="X63" s="1" t="e">
        <f>[6]BRASÍLIA!BS50</f>
        <v>#DIV/0!</v>
      </c>
      <c r="Y63" s="1" t="e">
        <f>[6]BRASÍLIA!BV50</f>
        <v>#DIV/0!</v>
      </c>
      <c r="Z63" s="1" t="e">
        <f>[6]BRASÍLIA!BY50</f>
        <v>#DIV/0!</v>
      </c>
      <c r="AA63" s="1" t="e">
        <f>[6]BRASÍLIA!CB50</f>
        <v>#DIV/0!</v>
      </c>
      <c r="AB63" s="1" t="e">
        <f>[6]BRASÍLIA!CE50</f>
        <v>#DIV/0!</v>
      </c>
      <c r="AC63">
        <f>[6]BRASÍLIA!B52</f>
        <v>21</v>
      </c>
      <c r="AD63">
        <f>[6]BRASÍLIA!B53</f>
        <v>17</v>
      </c>
      <c r="AE63">
        <f>[6]BRASÍLIA!B54</f>
        <v>2</v>
      </c>
      <c r="AF63">
        <f>[6]BRASÍLIA!B55</f>
        <v>0</v>
      </c>
      <c r="AG63">
        <f>[6]BRASÍLIA!B56</f>
        <v>24</v>
      </c>
      <c r="AH63">
        <f>[6]BRASÍLIA!$B$58</f>
        <v>36</v>
      </c>
      <c r="AI63">
        <f>[6]BRASÍLIA!$B$59</f>
        <v>146095</v>
      </c>
    </row>
    <row r="64" spans="1:35" x14ac:dyDescent="0.25">
      <c r="A64" t="s">
        <v>65</v>
      </c>
      <c r="B64" t="s">
        <v>68</v>
      </c>
      <c r="C64" s="1">
        <f>[6]IPSEP!H57</f>
        <v>309.64285714285717</v>
      </c>
      <c r="D64" s="1">
        <f>[6]IPSEP!K57</f>
        <v>394.57142857142856</v>
      </c>
      <c r="E64" s="1">
        <f>[6]IPSEP!N57</f>
        <v>937.44186046511629</v>
      </c>
      <c r="F64" s="1">
        <f>[6]IPSEP!Q57</f>
        <v>399.52380952380952</v>
      </c>
      <c r="G64" s="1">
        <f>[6]IPSEP!T57</f>
        <v>507.75</v>
      </c>
      <c r="H64" s="1">
        <f>[6]IPSEP!W57</f>
        <v>405.62790697674421</v>
      </c>
      <c r="I64" s="1">
        <f>[6]IPSEP!Z57</f>
        <v>424.85365853658539</v>
      </c>
      <c r="J64" s="1">
        <f>[6]IPSEP!AC57</f>
        <v>220.34883720930233</v>
      </c>
      <c r="K64" s="1">
        <f>[6]IPSEP!AF57</f>
        <v>234.16279069767441</v>
      </c>
      <c r="L64" s="1">
        <f>[6]IPSEP!AI57</f>
        <v>471.78048780487802</v>
      </c>
      <c r="M64" s="1">
        <f>[6]IPSEP!AL57</f>
        <v>414.54761904761904</v>
      </c>
      <c r="N64" s="1">
        <f>[6]IPSEP!AO57</f>
        <v>375.57142857142856</v>
      </c>
      <c r="O64" s="1">
        <f>[6]IPSEP!AR57</f>
        <v>304.38095238095241</v>
      </c>
      <c r="P64" s="1">
        <f>[6]IPSEP!AU57</f>
        <v>308.76744186046511</v>
      </c>
      <c r="Q64" s="1">
        <f>[6]IPSEP!AX57</f>
        <v>375.51162790697674</v>
      </c>
      <c r="R64" s="1">
        <f>[6]IPSEP!BA57</f>
        <v>351.83333333333331</v>
      </c>
      <c r="S64" s="1">
        <f>[6]IPSEP!BD57</f>
        <v>381.3170731707317</v>
      </c>
      <c r="T64" s="1">
        <f>[6]IPSEP!BG57</f>
        <v>355.41463414634148</v>
      </c>
      <c r="U64" s="1" t="e">
        <f>[6]IPSEP!BJ57</f>
        <v>#DIV/0!</v>
      </c>
      <c r="V64" s="1" t="e">
        <f>[6]IPSEP!BM57</f>
        <v>#DIV/0!</v>
      </c>
      <c r="W64" s="1" t="e">
        <f>[6]IPSEP!BP57</f>
        <v>#DIV/0!</v>
      </c>
      <c r="X64" s="1" t="e">
        <f>[6]IPSEP!BS57</f>
        <v>#DIV/0!</v>
      </c>
      <c r="Y64" s="1" t="e">
        <f>[6]IPSEP!BV57</f>
        <v>#DIV/0!</v>
      </c>
      <c r="Z64" s="1" t="e">
        <f>[6]IPSEP!BY57</f>
        <v>#DIV/0!</v>
      </c>
      <c r="AA64" s="1" t="e">
        <f>[6]IPSEP!CB57</f>
        <v>#DIV/0!</v>
      </c>
      <c r="AB64" s="1" t="e">
        <f>[6]IPSEP!CE57</f>
        <v>#DIV/0!</v>
      </c>
      <c r="AC64">
        <f>[6]IPSEP!B59</f>
        <v>9</v>
      </c>
      <c r="AD64">
        <f>[6]IPSEP!B60</f>
        <v>7</v>
      </c>
      <c r="AE64">
        <f>[6]IPSEP!B61</f>
        <v>1</v>
      </c>
      <c r="AF64">
        <f>[6]IPSEP!B62</f>
        <v>0</v>
      </c>
      <c r="AG64">
        <f>[6]IPSEP!B63</f>
        <v>12</v>
      </c>
      <c r="AH64">
        <f>[6]IPSEP!$B$65</f>
        <v>43</v>
      </c>
      <c r="AI64">
        <f>[6]IPSEP!$B$66</f>
        <v>301101</v>
      </c>
    </row>
    <row r="65" spans="1:35" x14ac:dyDescent="0.25">
      <c r="A65" t="s">
        <v>65</v>
      </c>
      <c r="B65" t="s">
        <v>69</v>
      </c>
      <c r="C65" s="1">
        <f>[6]IMBIRIBEIRA!H150</f>
        <v>211.33333333333334</v>
      </c>
      <c r="D65" s="1">
        <f>[6]IMBIRIBEIRA!K150</f>
        <v>221.57798165137615</v>
      </c>
      <c r="E65" s="1">
        <f>[6]IMBIRIBEIRA!N150</f>
        <v>303.53913043478263</v>
      </c>
      <c r="F65" s="1">
        <f>[6]IMBIRIBEIRA!Q150</f>
        <v>312.04385964912279</v>
      </c>
      <c r="G65" s="1">
        <f>[6]IMBIRIBEIRA!T150</f>
        <v>225.008547008547</v>
      </c>
      <c r="H65" s="1">
        <f>[6]IMBIRIBEIRA!W150</f>
        <v>228.71317829457365</v>
      </c>
      <c r="I65" s="1">
        <f>[6]IMBIRIBEIRA!Z150</f>
        <v>264.55</v>
      </c>
      <c r="J65" s="1">
        <f>[6]IMBIRIBEIRA!AC150</f>
        <v>230.4375</v>
      </c>
      <c r="K65" s="1">
        <f>[6]IMBIRIBEIRA!AF150</f>
        <v>191.12389380530973</v>
      </c>
      <c r="L65" s="1">
        <f>[6]IMBIRIBEIRA!AI150</f>
        <v>270.62393162393164</v>
      </c>
      <c r="M65" s="1">
        <f>[6]IMBIRIBEIRA!AL150</f>
        <v>264.51219512195121</v>
      </c>
      <c r="N65" s="1">
        <f>[6]IMBIRIBEIRA!AO150</f>
        <v>191.24786324786325</v>
      </c>
      <c r="O65" s="1">
        <f>[6]IMBIRIBEIRA!AR150</f>
        <v>238.06837606837607</v>
      </c>
      <c r="P65" s="1">
        <f>[6]IMBIRIBEIRA!AU150</f>
        <v>182.67479674796749</v>
      </c>
      <c r="Q65" s="1">
        <f>[6]IMBIRIBEIRA!AX150</f>
        <v>257.08264462809916</v>
      </c>
      <c r="R65" s="1">
        <f>[6]IMBIRIBEIRA!BA150</f>
        <v>176.13709677419354</v>
      </c>
      <c r="S65" s="1">
        <f>[6]IMBIRIBEIRA!BD150</f>
        <v>219.21428571428572</v>
      </c>
      <c r="T65" s="1">
        <f>[6]IMBIRIBEIRA!BG150</f>
        <v>180.79838709677421</v>
      </c>
      <c r="U65" s="1" t="e">
        <f>[6]IMBIRIBEIRA!BJ150</f>
        <v>#DIV/0!</v>
      </c>
      <c r="V65" s="1" t="e">
        <f>[6]IMBIRIBEIRA!BM150</f>
        <v>#DIV/0!</v>
      </c>
      <c r="W65" s="1" t="e">
        <f>[6]IMBIRIBEIRA!BP150</f>
        <v>#DIV/0!</v>
      </c>
      <c r="X65" s="1" t="e">
        <f>[6]IMBIRIBEIRA!BS150</f>
        <v>#DIV/0!</v>
      </c>
      <c r="Y65" s="1" t="e">
        <f>[6]IMBIRIBEIRA!BV150</f>
        <v>#DIV/0!</v>
      </c>
      <c r="Z65" s="1" t="e">
        <f>[6]IMBIRIBEIRA!BY150</f>
        <v>#DIV/0!</v>
      </c>
      <c r="AA65" s="1" t="e">
        <f>[6]IMBIRIBEIRA!CB150</f>
        <v>#DIV/0!</v>
      </c>
      <c r="AB65" s="1" t="e">
        <f>[6]IMBIRIBEIRA!CE150</f>
        <v>#DIV/0!</v>
      </c>
      <c r="AC65">
        <f>[6]IMBIRIBEIRA!B152</f>
        <v>160</v>
      </c>
      <c r="AD65">
        <f>[6]IMBIRIBEIRA!B153</f>
        <v>120</v>
      </c>
      <c r="AE65">
        <f>[6]IMBIRIBEIRA!B154</f>
        <v>4</v>
      </c>
      <c r="AF65">
        <f>[6]IMBIRIBEIRA!B155</f>
        <v>0</v>
      </c>
      <c r="AG65">
        <f>[6]IMBIRIBEIRA!B156</f>
        <v>119</v>
      </c>
      <c r="AH65">
        <f>[6]IMBIRIBEIRA!$B$158</f>
        <v>136</v>
      </c>
      <c r="AI65">
        <f>[6]IMBIRIBEIRA!$B$159</f>
        <v>494108</v>
      </c>
    </row>
    <row r="66" spans="1:35" x14ac:dyDescent="0.25">
      <c r="A66" t="s">
        <v>65</v>
      </c>
      <c r="B66" t="s">
        <v>71</v>
      </c>
      <c r="C66" s="1">
        <f>'[6]BOA VIAGEM'!H176</f>
        <v>188.33552631578948</v>
      </c>
      <c r="D66" s="1">
        <f>'[6]BOA VIAGEM'!K176</f>
        <v>197.48051948051949</v>
      </c>
      <c r="E66" s="1">
        <f>'[6]BOA VIAGEM'!N176</f>
        <v>292.85161290322583</v>
      </c>
      <c r="F66" s="1">
        <f>'[6]BOA VIAGEM'!Q176</f>
        <v>272.25</v>
      </c>
      <c r="G66" s="1">
        <f>'[6]BOA VIAGEM'!T176</f>
        <v>195.14649681528661</v>
      </c>
      <c r="H66" s="1">
        <f>'[6]BOA VIAGEM'!W176</f>
        <v>217.88050314465409</v>
      </c>
      <c r="I66" s="1">
        <f>'[6]BOA VIAGEM'!Z176</f>
        <v>270.47741935483873</v>
      </c>
      <c r="J66" s="1">
        <f>'[6]BOA VIAGEM'!AC176</f>
        <v>206.28025477707007</v>
      </c>
      <c r="K66" s="1">
        <f>'[6]BOA VIAGEM'!AF176</f>
        <v>168.80503144654088</v>
      </c>
      <c r="L66" s="1">
        <f>'[6]BOA VIAGEM'!AI176</f>
        <v>220.79084967320262</v>
      </c>
      <c r="M66" s="1">
        <f>'[6]BOA VIAGEM'!AL176</f>
        <v>341.19078947368422</v>
      </c>
      <c r="N66" s="1">
        <f>'[6]BOA VIAGEM'!AO176</f>
        <v>241.15189873417722</v>
      </c>
      <c r="O66" s="1">
        <f>'[6]BOA VIAGEM'!AR176</f>
        <v>228.84810126582278</v>
      </c>
      <c r="P66" s="1">
        <f>'[6]BOA VIAGEM'!AU176</f>
        <v>216.64968152866243</v>
      </c>
      <c r="Q66" s="1">
        <f>'[6]BOA VIAGEM'!AX176</f>
        <v>242.19354838709677</v>
      </c>
      <c r="R66" s="1">
        <f>'[6]BOA VIAGEM'!BA176</f>
        <v>235.24675324675326</v>
      </c>
      <c r="S66" s="1">
        <f>'[6]BOA VIAGEM'!BD176</f>
        <v>152.13836477987422</v>
      </c>
      <c r="T66" s="1">
        <f>'[6]BOA VIAGEM'!BG176</f>
        <v>199.00649350649351</v>
      </c>
      <c r="U66" s="1" t="e">
        <f>'[6]BOA VIAGEM'!BJ176</f>
        <v>#DIV/0!</v>
      </c>
      <c r="V66" s="1" t="e">
        <f>'[6]BOA VIAGEM'!BM176</f>
        <v>#DIV/0!</v>
      </c>
      <c r="W66" s="1" t="e">
        <f>'[6]BOA VIAGEM'!BP176</f>
        <v>#DIV/0!</v>
      </c>
      <c r="X66" s="1" t="e">
        <f>'[6]BOA VIAGEM'!BS176</f>
        <v>#DIV/0!</v>
      </c>
      <c r="Y66" s="1" t="e">
        <f>'[6]BOA VIAGEM'!BV176</f>
        <v>#DIV/0!</v>
      </c>
      <c r="Z66" s="1" t="e">
        <f>'[6]BOA VIAGEM'!BY176</f>
        <v>#DIV/0!</v>
      </c>
      <c r="AA66" s="1" t="e">
        <f>'[6]BOA VIAGEM'!CB176</f>
        <v>#DIV/0!</v>
      </c>
      <c r="AB66" s="1" t="e">
        <f>'[6]BOA VIAGEM'!CE176</f>
        <v>#DIV/0!</v>
      </c>
      <c r="AC66">
        <f>'[6]BOA VIAGEM'!B178</f>
        <v>36</v>
      </c>
      <c r="AD66">
        <f>'[6]BOA VIAGEM'!B179</f>
        <v>40</v>
      </c>
      <c r="AE66">
        <f>'[6]BOA VIAGEM'!B180</f>
        <v>5</v>
      </c>
      <c r="AF66">
        <f>'[6]BOA VIAGEM'!B181</f>
        <v>0</v>
      </c>
      <c r="AG66">
        <f>'[6]BOA VIAGEM'!B182</f>
        <v>36</v>
      </c>
      <c r="AH66">
        <f>'[6]BOA VIAGEM'!$B$184</f>
        <v>162</v>
      </c>
      <c r="AI66">
        <f>'[6]BOA VIAGEM'!$B$185</f>
        <v>636943</v>
      </c>
    </row>
    <row r="67" spans="1:35" x14ac:dyDescent="0.25">
      <c r="A67" t="s">
        <v>70</v>
      </c>
      <c r="B67" t="s">
        <v>72</v>
      </c>
      <c r="C67" s="1">
        <f>'[7]NOVA DESCOBERTA '!H74</f>
        <v>171.6</v>
      </c>
      <c r="D67" s="1">
        <f>'[7]NOVA DESCOBERTA '!K74</f>
        <v>130.27586206896552</v>
      </c>
      <c r="E67" s="1">
        <f>'[7]NOVA DESCOBERTA '!N74</f>
        <v>177.13559322033899</v>
      </c>
      <c r="F67" s="1">
        <f>'[7]NOVA DESCOBERTA '!Q74</f>
        <v>172.49122807017545</v>
      </c>
      <c r="G67" s="1">
        <f>'[7]NOVA DESCOBERTA '!T74</f>
        <v>306.81818181818181</v>
      </c>
      <c r="H67" s="1">
        <f>'[7]NOVA DESCOBERTA '!W74</f>
        <v>280.15254237288133</v>
      </c>
      <c r="I67" s="1">
        <f>'[7]NOVA DESCOBERTA '!Z74</f>
        <v>273.54385964912279</v>
      </c>
      <c r="J67" s="1">
        <f>'[7]NOVA DESCOBERTA '!AC74</f>
        <v>213.12727272727273</v>
      </c>
      <c r="K67" s="1">
        <f>'[7]NOVA DESCOBERTA '!AF74</f>
        <v>190.05357142857142</v>
      </c>
      <c r="L67" s="1">
        <f>'[7]NOVA DESCOBERTA '!AI74</f>
        <v>281.70175438596493</v>
      </c>
      <c r="M67" s="1">
        <f>'[7]NOVA DESCOBERTA '!AL74</f>
        <v>320.45</v>
      </c>
      <c r="N67" s="1">
        <f>'[7]NOVA DESCOBERTA '!AO74</f>
        <v>195.47368421052633</v>
      </c>
      <c r="O67" s="1">
        <f>'[7]NOVA DESCOBERTA '!AR74</f>
        <v>214.52727272727273</v>
      </c>
      <c r="P67" s="1">
        <f>'[7]NOVA DESCOBERTA '!AU74</f>
        <v>218.35593220338984</v>
      </c>
      <c r="Q67" s="1">
        <f>'[7]NOVA DESCOBERTA '!AX74</f>
        <v>298.79310344827587</v>
      </c>
      <c r="R67" s="1">
        <f>'[7]NOVA DESCOBERTA '!BA74</f>
        <v>217.89655172413794</v>
      </c>
      <c r="S67" s="1">
        <f>'[7]NOVA DESCOBERTA '!BD74</f>
        <v>146.26315789473685</v>
      </c>
      <c r="T67" s="1">
        <f>'[7]NOVA DESCOBERTA '!BG74</f>
        <v>147.03571428571428</v>
      </c>
      <c r="U67" s="1" t="e">
        <f>'[7]NOVA DESCOBERTA '!BJ74</f>
        <v>#DIV/0!</v>
      </c>
      <c r="V67" s="1" t="e">
        <f>'[7]NOVA DESCOBERTA '!BM74</f>
        <v>#DIV/0!</v>
      </c>
      <c r="W67" s="1" t="e">
        <f>'[7]NOVA DESCOBERTA '!BP74</f>
        <v>#DIV/0!</v>
      </c>
      <c r="X67" s="1" t="e">
        <f>'[7]NOVA DESCOBERTA '!BS74</f>
        <v>#DIV/0!</v>
      </c>
      <c r="Y67" s="1" t="e">
        <f>'[7]NOVA DESCOBERTA '!BV74</f>
        <v>#DIV/0!</v>
      </c>
      <c r="Z67" s="1" t="e">
        <f>'[7]NOVA DESCOBERTA '!BY74</f>
        <v>#DIV/0!</v>
      </c>
      <c r="AA67" s="1" t="e">
        <f>'[7]NOVA DESCOBERTA '!CB74</f>
        <v>#DIV/0!</v>
      </c>
      <c r="AB67" s="1" t="e">
        <f>'[7]NOVA DESCOBERTA '!CE74</f>
        <v>#DIV/0!</v>
      </c>
      <c r="AC67">
        <f>'[7]NOVA DESCOBERTA '!B77</f>
        <v>26</v>
      </c>
      <c r="AD67">
        <f>'[7]NOVA DESCOBERTA '!B78</f>
        <v>17</v>
      </c>
      <c r="AE67">
        <f>'[7]NOVA DESCOBERTA '!B79</f>
        <v>3</v>
      </c>
      <c r="AF67">
        <f>'[7]NOVA DESCOBERTA '!B80</f>
        <v>0</v>
      </c>
      <c r="AG67">
        <f>'[7]NOVA DESCOBERTA '!B81</f>
        <v>34</v>
      </c>
      <c r="AH67">
        <f>'[7]NOVA DESCOBERTA '!$B$83</f>
        <v>60</v>
      </c>
      <c r="AI67">
        <f>'[7]NOVA DESCOBERTA '!$B$84</f>
        <v>226285</v>
      </c>
    </row>
    <row r="68" spans="1:35" x14ac:dyDescent="0.25">
      <c r="A68" t="s">
        <v>70</v>
      </c>
      <c r="B68" t="s">
        <v>73</v>
      </c>
      <c r="C68" s="1">
        <f>'[7]ALTO J. BONIFÁCIO'!H35</f>
        <v>101.57894736842105</v>
      </c>
      <c r="D68" s="1">
        <f>'[7]ALTO J. BONIFÁCIO'!K35</f>
        <v>163.44999999999999</v>
      </c>
      <c r="E68" s="1">
        <f>'[7]ALTO J. BONIFÁCIO'!N35</f>
        <v>175.35</v>
      </c>
      <c r="F68" s="1">
        <f>'[7]ALTO J. BONIFÁCIO'!Q35</f>
        <v>168.52380952380952</v>
      </c>
      <c r="G68" s="1">
        <f>'[7]ALTO J. BONIFÁCIO'!T35</f>
        <v>147.61904761904762</v>
      </c>
      <c r="H68" s="1">
        <f>'[7]ALTO J. BONIFÁCIO'!W35</f>
        <v>178.9047619047619</v>
      </c>
      <c r="I68" s="1">
        <f>'[7]ALTO J. BONIFÁCIO'!Z35</f>
        <v>179.42857142857142</v>
      </c>
      <c r="J68" s="1">
        <f>'[7]ALTO J. BONIFÁCIO'!AC35</f>
        <v>134.61904761904762</v>
      </c>
      <c r="K68" s="1">
        <f>'[7]ALTO J. BONIFÁCIO'!AF35</f>
        <v>104.75</v>
      </c>
      <c r="L68" s="1">
        <f>'[7]ALTO J. BONIFÁCIO'!AI35</f>
        <v>226.14285714285714</v>
      </c>
      <c r="M68" s="1">
        <f>'[7]ALTO J. BONIFÁCIO'!AL35</f>
        <v>142.44999999999999</v>
      </c>
      <c r="N68" s="1">
        <f>'[7]ALTO J. BONIFÁCIO'!AO35</f>
        <v>195.77777777777777</v>
      </c>
      <c r="O68" s="1">
        <f>'[7]ALTO J. BONIFÁCIO'!AR35</f>
        <v>239.31578947368422</v>
      </c>
      <c r="P68" s="1">
        <f>'[7]ALTO J. BONIFÁCIO'!AU35</f>
        <v>139.85</v>
      </c>
      <c r="Q68" s="1">
        <f>'[7]ALTO J. BONIFÁCIO'!AX35</f>
        <v>259.04761904761904</v>
      </c>
      <c r="R68" s="1">
        <f>'[7]ALTO J. BONIFÁCIO'!BA35</f>
        <v>103.25</v>
      </c>
      <c r="S68" s="1">
        <f>'[7]ALTO J. BONIFÁCIO'!BD35</f>
        <v>232.94736842105263</v>
      </c>
      <c r="T68" s="1">
        <f>'[7]ALTO J. BONIFÁCIO'!BG35</f>
        <v>155.85</v>
      </c>
      <c r="U68" s="1" t="e">
        <f>'[7]ALTO J. BONIFÁCIO'!BJ35</f>
        <v>#DIV/0!</v>
      </c>
      <c r="V68" s="1" t="e">
        <f>'[7]ALTO J. BONIFÁCIO'!BM35</f>
        <v>#DIV/0!</v>
      </c>
      <c r="W68" s="1" t="e">
        <f>'[7]ALTO J. BONIFÁCIO'!BP35</f>
        <v>#DIV/0!</v>
      </c>
      <c r="X68" s="1" t="e">
        <f>'[7]ALTO J. BONIFÁCIO'!BS35</f>
        <v>#DIV/0!</v>
      </c>
      <c r="Y68" s="1" t="e">
        <f>'[7]ALTO J. BONIFÁCIO'!BV35</f>
        <v>#DIV/0!</v>
      </c>
      <c r="Z68" s="1" t="e">
        <f>'[7]ALTO J. BONIFÁCIO'!BY35</f>
        <v>#DIV/0!</v>
      </c>
      <c r="AA68" s="1" t="e">
        <f>'[7]ALTO J. BONIFÁCIO'!CB35</f>
        <v>#DIV/0!</v>
      </c>
      <c r="AB68" s="1" t="e">
        <f>'[7]ALTO J. BONIFÁCIO'!CE35</f>
        <v>#DIV/0!</v>
      </c>
      <c r="AC68">
        <f>'[7]ALTO J. BONIFÁCIO'!B37</f>
        <v>11</v>
      </c>
      <c r="AD68">
        <f>'[7]ALTO J. BONIFÁCIO'!B38</f>
        <v>1</v>
      </c>
      <c r="AE68">
        <f>'[7]ALTO J. BONIFÁCIO'!B39</f>
        <v>1</v>
      </c>
      <c r="AF68">
        <f>'[7]ALTO J. BONIFÁCIO'!B40</f>
        <v>0</v>
      </c>
      <c r="AG68">
        <f>'[7]ALTO J. BONIFÁCIO'!B41</f>
        <v>9</v>
      </c>
      <c r="AH68">
        <f>'[7]ALTO J. BONIFÁCIO'!$B$43</f>
        <v>21</v>
      </c>
      <c r="AI68">
        <f>'[7]ALTO J. BONIFÁCIO'!$B$44</f>
        <v>61306</v>
      </c>
    </row>
    <row r="69" spans="1:35" x14ac:dyDescent="0.25">
      <c r="A69" t="s">
        <v>70</v>
      </c>
      <c r="B69" t="s">
        <v>74</v>
      </c>
      <c r="C69" s="1">
        <f>[7]MANGABEIRA!H25</f>
        <v>151.09090909090909</v>
      </c>
      <c r="D69" s="1">
        <f>[7]MANGABEIRA!K25</f>
        <v>126</v>
      </c>
      <c r="E69" s="1">
        <f>[7]MANGABEIRA!N25</f>
        <v>206.09090909090909</v>
      </c>
      <c r="F69" s="1">
        <f>[7]MANGABEIRA!Q25</f>
        <v>249.63636363636363</v>
      </c>
      <c r="G69" s="1">
        <f>[7]MANGABEIRA!T25</f>
        <v>177.9</v>
      </c>
      <c r="H69" s="1">
        <f>[7]MANGABEIRA!W25</f>
        <v>354.90909090909093</v>
      </c>
      <c r="I69" s="1">
        <f>[7]MANGABEIRA!Z25</f>
        <v>528.4545454545455</v>
      </c>
      <c r="J69" s="1">
        <f>[7]MANGABEIRA!AC25</f>
        <v>231</v>
      </c>
      <c r="K69" s="1">
        <f>[7]MANGABEIRA!AF25</f>
        <v>200.36363636363637</v>
      </c>
      <c r="L69" s="1">
        <f>[7]MANGABEIRA!AI25</f>
        <v>395.6</v>
      </c>
      <c r="M69" s="1">
        <f>[7]MANGABEIRA!AL25</f>
        <v>246.5</v>
      </c>
      <c r="N69" s="1">
        <f>[7]MANGABEIRA!AO25</f>
        <v>310.18181818181819</v>
      </c>
      <c r="O69" s="1">
        <f>[7]MANGABEIRA!AR25</f>
        <v>459.54545454545456</v>
      </c>
      <c r="P69" s="1">
        <f>[7]MANGABEIRA!AU25</f>
        <v>279.72727272727275</v>
      </c>
      <c r="Q69" s="1">
        <f>[7]MANGABEIRA!AX25</f>
        <v>164.36363636363637</v>
      </c>
      <c r="R69" s="1">
        <f>[7]MANGABEIRA!BA25</f>
        <v>212.9</v>
      </c>
      <c r="S69" s="1">
        <f>[7]MANGABEIRA!BD25</f>
        <v>282.36363636363637</v>
      </c>
      <c r="T69" s="1">
        <f>[7]MANGABEIRA!BG25</f>
        <v>189.8</v>
      </c>
      <c r="U69" s="1" t="e">
        <f>[7]MANGABEIRA!BJ25</f>
        <v>#DIV/0!</v>
      </c>
      <c r="V69" s="1" t="e">
        <f>[7]MANGABEIRA!BM25</f>
        <v>#DIV/0!</v>
      </c>
      <c r="W69" s="1" t="e">
        <f>[7]MANGABEIRA!BP25</f>
        <v>#DIV/0!</v>
      </c>
      <c r="X69" s="1" t="e">
        <f>[7]MANGABEIRA!BS25</f>
        <v>#DIV/0!</v>
      </c>
      <c r="Y69" s="1" t="e">
        <f>[7]MANGABEIRA!BV25</f>
        <v>#DIV/0!</v>
      </c>
      <c r="Z69" s="1" t="e">
        <f>[7]MANGABEIRA!BY25</f>
        <v>#DIV/0!</v>
      </c>
      <c r="AA69" s="1" t="e">
        <f>[7]MANGABEIRA!CB25</f>
        <v>#DIV/0!</v>
      </c>
      <c r="AB69" s="1" t="e">
        <f>[7]MANGABEIRA!CE25</f>
        <v>#DIV/0!</v>
      </c>
      <c r="AC69">
        <f>[7]MANGABEIRA!B27</f>
        <v>2</v>
      </c>
      <c r="AD69">
        <f>[7]MANGABEIRA!B28</f>
        <v>3</v>
      </c>
      <c r="AE69">
        <f>[7]MANGABEIRA!B29</f>
        <v>0</v>
      </c>
      <c r="AF69">
        <f>[7]MANGABEIRA!B30</f>
        <v>0</v>
      </c>
      <c r="AG69">
        <f>[7]MANGABEIRA!B31</f>
        <v>4</v>
      </c>
      <c r="AH69">
        <f>[7]MANGABEIRA!$B$33</f>
        <v>11</v>
      </c>
      <c r="AI69" s="5">
        <f>[7]MANGABEIRA!$B$34</f>
        <v>50977</v>
      </c>
    </row>
    <row r="70" spans="1:35" x14ac:dyDescent="0.25">
      <c r="A70" t="s">
        <v>70</v>
      </c>
      <c r="B70" t="s">
        <v>75</v>
      </c>
      <c r="C70" s="1">
        <f>'[7]ALTO JOSÉ DO PINHO'!H32</f>
        <v>185.75</v>
      </c>
      <c r="D70" s="1">
        <f>'[7]ALTO JOSÉ DO PINHO'!K32</f>
        <v>220.44444444444446</v>
      </c>
      <c r="E70" s="1">
        <f>'[7]ALTO JOSÉ DO PINHO'!N32</f>
        <v>230.5</v>
      </c>
      <c r="F70" s="1">
        <f>'[7]ALTO JOSÉ DO PINHO'!Q32</f>
        <v>264.94444444444446</v>
      </c>
      <c r="G70" s="1">
        <f>'[7]ALTO JOSÉ DO PINHO'!T32</f>
        <v>192</v>
      </c>
      <c r="H70" s="1">
        <f>'[7]ALTO JOSÉ DO PINHO'!W32</f>
        <v>167.55555555555554</v>
      </c>
      <c r="I70" s="1">
        <f>'[7]ALTO JOSÉ DO PINHO'!Z32</f>
        <v>233.55555555555554</v>
      </c>
      <c r="J70" s="1">
        <f>'[7]ALTO JOSÉ DO PINHO'!AC32</f>
        <v>121.61111111111111</v>
      </c>
      <c r="K70" s="1">
        <f>'[7]ALTO JOSÉ DO PINHO'!AF32</f>
        <v>115.47058823529412</v>
      </c>
      <c r="L70" s="1">
        <f>'[7]ALTO JOSÉ DO PINHO'!AI32</f>
        <v>179.23529411764707</v>
      </c>
      <c r="M70" s="1">
        <f>'[7]ALTO JOSÉ DO PINHO'!AL32</f>
        <v>265.38888888888891</v>
      </c>
      <c r="N70" s="1">
        <f>'[7]ALTO JOSÉ DO PINHO'!AO32</f>
        <v>194.22222222222223</v>
      </c>
      <c r="O70" s="1">
        <f>'[7]ALTO JOSÉ DO PINHO'!AR32</f>
        <v>247.94444444444446</v>
      </c>
      <c r="P70" s="1">
        <f>'[7]ALTO JOSÉ DO PINHO'!AU32</f>
        <v>316.4375</v>
      </c>
      <c r="Q70" s="1">
        <f>'[7]ALTO JOSÉ DO PINHO'!AX32</f>
        <v>199.16666666666666</v>
      </c>
      <c r="R70" s="1">
        <f>'[7]ALTO JOSÉ DO PINHO'!BA32</f>
        <v>247.5625</v>
      </c>
      <c r="S70" s="1">
        <f>'[7]ALTO JOSÉ DO PINHO'!BD32</f>
        <v>141.88888888888889</v>
      </c>
      <c r="T70" s="1">
        <f>'[7]ALTO JOSÉ DO PINHO'!BG32</f>
        <v>176.72222222222223</v>
      </c>
      <c r="U70" s="1" t="e">
        <f>'[7]ALTO JOSÉ DO PINHO'!BJ32</f>
        <v>#DIV/0!</v>
      </c>
      <c r="V70" s="1" t="e">
        <f>'[7]ALTO JOSÉ DO PINHO'!BM32</f>
        <v>#DIV/0!</v>
      </c>
      <c r="W70" s="1" t="e">
        <f>'[7]ALTO JOSÉ DO PINHO'!BP32</f>
        <v>#DIV/0!</v>
      </c>
      <c r="X70" s="1" t="e">
        <f>'[7]ALTO JOSÉ DO PINHO'!BS32</f>
        <v>#DIV/0!</v>
      </c>
      <c r="Y70" s="1" t="e">
        <f>'[7]ALTO JOSÉ DO PINHO'!BV32</f>
        <v>#DIV/0!</v>
      </c>
      <c r="Z70" s="1" t="e">
        <f>'[7]ALTO JOSÉ DO PINHO'!BY32</f>
        <v>#DIV/0!</v>
      </c>
      <c r="AA70" s="1" t="e">
        <f>'[7]ALTO JOSÉ DO PINHO'!CB32</f>
        <v>#DIV/0!</v>
      </c>
      <c r="AB70" s="1" t="e">
        <f>'[7]ALTO JOSÉ DO PINHO'!CE32</f>
        <v>#DIV/0!</v>
      </c>
      <c r="AC70">
        <f>'[7]ALTO JOSÉ DO PINHO'!B34</f>
        <v>2</v>
      </c>
      <c r="AD70">
        <f>'[7]ALTO JOSÉ DO PINHO'!B35</f>
        <v>1</v>
      </c>
      <c r="AE70">
        <f>'[7]ALTO JOSÉ DO PINHO'!B36</f>
        <v>0</v>
      </c>
      <c r="AF70">
        <f>'[7]ALTO JOSÉ DO PINHO'!B37</f>
        <v>0</v>
      </c>
      <c r="AG70">
        <f>'[7]ALTO JOSÉ DO PINHO'!B38</f>
        <v>1</v>
      </c>
      <c r="AH70">
        <f>'[7]ALTO JOSÉ DO PINHO'!$B$40</f>
        <v>18</v>
      </c>
      <c r="AI70">
        <f>'[7]ALTO JOSÉ DO PINHO'!$B$41</f>
        <v>64813</v>
      </c>
    </row>
    <row r="71" spans="1:35" x14ac:dyDescent="0.25">
      <c r="A71" t="s">
        <v>70</v>
      </c>
      <c r="B71" t="s">
        <v>76</v>
      </c>
      <c r="C71" s="1">
        <f>'[7]M. DA CONCEIÇÃO'!$H$30</f>
        <v>293.36363636363637</v>
      </c>
      <c r="D71" s="1">
        <f>'[7]M. DA CONCEIÇÃO'!K30</f>
        <v>152.93333333333334</v>
      </c>
      <c r="E71" s="1">
        <f>'[7]M. DA CONCEIÇÃO'!N30</f>
        <v>143.0625</v>
      </c>
      <c r="F71" s="1">
        <f>'[7]M. DA CONCEIÇÃO'!Q30</f>
        <v>268.4375</v>
      </c>
      <c r="G71" s="1">
        <f>'[7]M. DA CONCEIÇÃO'!T30</f>
        <v>236.5</v>
      </c>
      <c r="H71" s="1">
        <f>'[7]M. DA CONCEIÇÃO'!W30</f>
        <v>270.5625</v>
      </c>
      <c r="I71" s="1">
        <f>'[7]M. DA CONCEIÇÃO'!Z30</f>
        <v>178.25</v>
      </c>
      <c r="J71" s="1">
        <f>'[7]M. DA CONCEIÇÃO'!AC30</f>
        <v>202.75</v>
      </c>
      <c r="K71" s="1">
        <f>'[7]M. DA CONCEIÇÃO'!AF30</f>
        <v>173.78571428571428</v>
      </c>
      <c r="L71" s="1">
        <f>'[7]M. DA CONCEIÇÃO'!AI30</f>
        <v>236.75</v>
      </c>
      <c r="M71" s="1">
        <f>'[7]M. DA CONCEIÇÃO'!AL30</f>
        <v>128.875</v>
      </c>
      <c r="N71" s="1">
        <f>'[7]M. DA CONCEIÇÃO'!AO30</f>
        <v>258.0625</v>
      </c>
      <c r="O71" s="1">
        <f>'[7]M. DA CONCEIÇÃO'!AR30</f>
        <v>312.9375</v>
      </c>
      <c r="P71" s="1">
        <f>'[7]M. DA CONCEIÇÃO'!AU30</f>
        <v>218.26666666666668</v>
      </c>
      <c r="Q71" s="1">
        <f>'[7]M. DA CONCEIÇÃO'!AX30</f>
        <v>200</v>
      </c>
      <c r="R71" s="1">
        <f>'[7]M. DA CONCEIÇÃO'!BA30</f>
        <v>141.8125</v>
      </c>
      <c r="S71" s="1">
        <f>'[7]M. DA CONCEIÇÃO'!BD30</f>
        <v>224.625</v>
      </c>
      <c r="T71" s="1">
        <f>'[7]M. DA CONCEIÇÃO'!BG30</f>
        <v>194.28571428571428</v>
      </c>
      <c r="U71" s="1" t="e">
        <f>'[7]M. DA CONCEIÇÃO'!BJ30</f>
        <v>#DIV/0!</v>
      </c>
      <c r="V71" s="1" t="e">
        <f>'[7]M. DA CONCEIÇÃO'!BM30</f>
        <v>#DIV/0!</v>
      </c>
      <c r="W71" s="1" t="e">
        <f>'[7]M. DA CONCEIÇÃO'!BP30</f>
        <v>#DIV/0!</v>
      </c>
      <c r="X71" s="1" t="e">
        <f>'[7]M. DA CONCEIÇÃO'!BS30</f>
        <v>#DIV/0!</v>
      </c>
      <c r="Y71" s="1" t="e">
        <f>'[7]M. DA CONCEIÇÃO'!BV30</f>
        <v>#DIV/0!</v>
      </c>
      <c r="Z71" s="1" t="e">
        <f>'[7]M. DA CONCEIÇÃO'!BY30</f>
        <v>#DIV/0!</v>
      </c>
      <c r="AA71" s="1" t="e">
        <f>'[7]M. DA CONCEIÇÃO'!CB30</f>
        <v>#DIV/0!</v>
      </c>
      <c r="AB71" s="1" t="e">
        <f>'[7]M. DA CONCEIÇÃO'!CE30</f>
        <v>#DIV/0!</v>
      </c>
      <c r="AC71">
        <f>'[7]M. DA CONCEIÇÃO'!B32</f>
        <v>4</v>
      </c>
      <c r="AD71">
        <f>'[7]M. DA CONCEIÇÃO'!B33</f>
        <v>5</v>
      </c>
      <c r="AE71">
        <f>'[7]M. DA CONCEIÇÃO'!B34</f>
        <v>0</v>
      </c>
      <c r="AF71">
        <f>'[7]M. DA CONCEIÇÃO'!B35</f>
        <v>0</v>
      </c>
      <c r="AG71">
        <f>'[7]M. DA CONCEIÇÃO'!B36</f>
        <v>6</v>
      </c>
      <c r="AH71">
        <f>'[7]M. DA CONCEIÇÃO'!$B$38</f>
        <v>16</v>
      </c>
      <c r="AI71">
        <f>'[7]M. DA CONCEIÇÃO'!$B$39</f>
        <v>58590</v>
      </c>
    </row>
    <row r="72" spans="1:35" x14ac:dyDescent="0.25">
      <c r="A72" t="s">
        <v>70</v>
      </c>
      <c r="B72" t="s">
        <v>77</v>
      </c>
      <c r="C72" s="1">
        <f>'[7]VASCO DA GAMA'!H67</f>
        <v>192.02</v>
      </c>
      <c r="D72" s="1">
        <f>'[7]VASCO DA GAMA'!K67</f>
        <v>205.57692307692307</v>
      </c>
      <c r="E72" s="1">
        <f>'[7]VASCO DA GAMA'!N67</f>
        <v>236.47058823529412</v>
      </c>
      <c r="F72" s="1">
        <f>'[7]VASCO DA GAMA'!Q67</f>
        <v>299.96153846153845</v>
      </c>
      <c r="G72" s="1">
        <f>'[7]VASCO DA GAMA'!T67</f>
        <v>180.56</v>
      </c>
      <c r="H72" s="1">
        <f>'[7]VASCO DA GAMA'!W67</f>
        <v>212.14</v>
      </c>
      <c r="I72" s="1">
        <f>'[7]VASCO DA GAMA'!Z67</f>
        <v>319.47169811320754</v>
      </c>
      <c r="J72" s="1">
        <f>'[7]VASCO DA GAMA'!AC67</f>
        <v>235.9433962264151</v>
      </c>
      <c r="K72" s="1">
        <f>'[7]VASCO DA GAMA'!AF67</f>
        <v>196.56862745098039</v>
      </c>
      <c r="L72" s="1">
        <f>'[7]VASCO DA GAMA'!AI67</f>
        <v>285.31372549019608</v>
      </c>
      <c r="M72" s="1">
        <f>'[7]VASCO DA GAMA'!AL67</f>
        <v>277.34615384615387</v>
      </c>
      <c r="N72" s="1">
        <f>'[7]VASCO DA GAMA'!AO67</f>
        <v>208.94</v>
      </c>
      <c r="O72" s="1">
        <f>'[7]VASCO DA GAMA'!AR67</f>
        <v>283.52083333333331</v>
      </c>
      <c r="P72" s="1">
        <f>'[7]VASCO DA GAMA'!AU67</f>
        <v>239.35294117647058</v>
      </c>
      <c r="Q72" s="1">
        <f>'[7]VASCO DA GAMA'!AX67</f>
        <v>232.65909090909091</v>
      </c>
      <c r="R72" s="1">
        <f>'[7]VASCO DA GAMA'!BA67</f>
        <v>206.83673469387756</v>
      </c>
      <c r="S72" s="1">
        <f>'[7]VASCO DA GAMA'!BD67</f>
        <v>287.45098039215685</v>
      </c>
      <c r="T72" s="1">
        <f>'[7]VASCO DA GAMA'!BG67</f>
        <v>183.6875</v>
      </c>
      <c r="U72" s="1" t="e">
        <f>'[7]VASCO DA GAMA'!BJ67</f>
        <v>#DIV/0!</v>
      </c>
      <c r="V72" s="1" t="e">
        <f>'[7]VASCO DA GAMA'!BM67</f>
        <v>#DIV/0!</v>
      </c>
      <c r="W72" s="1" t="e">
        <f>'[7]VASCO DA GAMA'!BP67</f>
        <v>#DIV/0!</v>
      </c>
      <c r="X72" s="1" t="e">
        <f>'[7]VASCO DA GAMA'!BS67</f>
        <v>#DIV/0!</v>
      </c>
      <c r="Y72" s="1" t="e">
        <f>'[7]VASCO DA GAMA'!BV67</f>
        <v>#DIV/0!</v>
      </c>
      <c r="Z72" s="1" t="e">
        <f>'[7]VASCO DA GAMA'!BY67</f>
        <v>#DIV/0!</v>
      </c>
      <c r="AA72" s="1" t="e">
        <f>'[7]VASCO DA GAMA'!CB67</f>
        <v>#DIV/0!</v>
      </c>
      <c r="AB72" s="1" t="e">
        <f>'[7]VASCO DA GAMA'!CE67</f>
        <v>#DIV/0!</v>
      </c>
      <c r="AC72">
        <f>'[7]VASCO DA GAMA'!B69</f>
        <v>29</v>
      </c>
      <c r="AD72">
        <f>'[7]VASCO DA GAMA'!B70</f>
        <v>11</v>
      </c>
      <c r="AE72">
        <f>'[7]VASCO DA GAMA'!B71</f>
        <v>2</v>
      </c>
      <c r="AF72">
        <f>'[7]VASCO DA GAMA'!B72</f>
        <v>0</v>
      </c>
      <c r="AG72">
        <f>'[7]VASCO DA GAMA'!B73</f>
        <v>33</v>
      </c>
      <c r="AH72">
        <f>'[7]VASCO DA GAMA'!$B$75</f>
        <v>53</v>
      </c>
      <c r="AI72" s="5">
        <f>'[7]VASCO DA GAMA'!$B$76</f>
        <v>216131</v>
      </c>
    </row>
    <row r="73" spans="1:35" x14ac:dyDescent="0.25">
      <c r="A73" t="s">
        <v>70</v>
      </c>
      <c r="B73" t="s">
        <v>78</v>
      </c>
      <c r="C73" s="1">
        <f>[7]MACAXEIRA!H43</f>
        <v>245.30769230769232</v>
      </c>
      <c r="D73" s="1">
        <f>[7]MACAXEIRA!K43</f>
        <v>280.26923076923077</v>
      </c>
      <c r="E73" s="1">
        <f>[7]MACAXEIRA!N43</f>
        <v>273.33333333333331</v>
      </c>
      <c r="F73" s="1">
        <f>[7]MACAXEIRA!Q43</f>
        <v>310</v>
      </c>
      <c r="G73" s="1">
        <f>[7]MACAXEIRA!T43</f>
        <v>179.625</v>
      </c>
      <c r="H73" s="1">
        <f>[7]MACAXEIRA!W43</f>
        <v>242.63636363636363</v>
      </c>
      <c r="I73" s="1">
        <f>[7]MACAXEIRA!Z43</f>
        <v>367.13043478260869</v>
      </c>
      <c r="J73" s="1">
        <f>[7]MACAXEIRA!AC43</f>
        <v>282.61538461538464</v>
      </c>
      <c r="K73" s="1">
        <f>[7]MACAXEIRA!AF43</f>
        <v>159.04166666666666</v>
      </c>
      <c r="L73" s="1">
        <f>[7]MACAXEIRA!AI43</f>
        <v>309.5</v>
      </c>
      <c r="M73" s="1">
        <f>[7]MACAXEIRA!AL43</f>
        <v>397.64</v>
      </c>
      <c r="N73" s="1">
        <f>[7]MACAXEIRA!AO43</f>
        <v>225.44</v>
      </c>
      <c r="O73" s="1">
        <f>[7]MACAXEIRA!AR43</f>
        <v>208.52</v>
      </c>
      <c r="P73" s="1">
        <f>[7]MACAXEIRA!AU43</f>
        <v>244.28571428571428</v>
      </c>
      <c r="Q73" s="1">
        <f>[7]MACAXEIRA!AX43</f>
        <v>273.15384615384613</v>
      </c>
      <c r="R73" s="1">
        <f>[7]MACAXEIRA!BA43</f>
        <v>241.95652173913044</v>
      </c>
      <c r="S73" s="1">
        <f>[7]MACAXEIRA!BD43</f>
        <v>181.91666666666666</v>
      </c>
      <c r="T73" s="1">
        <f>[7]MACAXEIRA!BG43</f>
        <v>102.59090909090909</v>
      </c>
      <c r="U73" s="1" t="e">
        <f>[7]MACAXEIRA!BJ43</f>
        <v>#DIV/0!</v>
      </c>
      <c r="V73" s="1" t="e">
        <f>[7]MACAXEIRA!BM43</f>
        <v>#DIV/0!</v>
      </c>
      <c r="W73" s="1" t="e">
        <f>[7]MACAXEIRA!BP43</f>
        <v>#DIV/0!</v>
      </c>
      <c r="X73" s="1" t="e">
        <f>[7]MACAXEIRA!BS43</f>
        <v>#DIV/0!</v>
      </c>
      <c r="Y73" s="1" t="e">
        <f>[7]MACAXEIRA!BV43</f>
        <v>#DIV/0!</v>
      </c>
      <c r="Z73" s="1" t="e">
        <f>[7]MACAXEIRA!BY43</f>
        <v>#DIV/0!</v>
      </c>
      <c r="AA73" s="1" t="e">
        <f>[7]MACAXEIRA!CB43</f>
        <v>#DIV/0!</v>
      </c>
      <c r="AB73" s="1" t="e">
        <f>[7]MACAXEIRA!CE43</f>
        <v>#DIV/0!</v>
      </c>
      <c r="AC73">
        <f>[7]MACAXEIRA!B45</f>
        <v>46</v>
      </c>
      <c r="AD73">
        <f>[7]MACAXEIRA!B46</f>
        <v>19</v>
      </c>
      <c r="AE73">
        <f>[7]MACAXEIRA!B47</f>
        <v>3</v>
      </c>
      <c r="AF73">
        <f>[7]MACAXEIRA!B48</f>
        <v>0</v>
      </c>
      <c r="AG73">
        <f>[7]MACAXEIRA!B49</f>
        <v>49</v>
      </c>
      <c r="AH73">
        <f>[7]MACAXEIRA!$B$51</f>
        <v>29</v>
      </c>
      <c r="AI73">
        <f>[7]MACAXEIRA!$B$52</f>
        <v>114259</v>
      </c>
    </row>
    <row r="74" spans="1:35" x14ac:dyDescent="0.25">
      <c r="A74" t="s">
        <v>70</v>
      </c>
      <c r="B74" t="s">
        <v>79</v>
      </c>
      <c r="C74" s="1">
        <f>'[7]BREJO DA GUABIRABA'!H34</f>
        <v>153.46666666666667</v>
      </c>
      <c r="D74" s="1">
        <f>'[7]BREJO DA GUABIRABA'!K34</f>
        <v>184.66666666666666</v>
      </c>
      <c r="E74" s="1">
        <f>'[7]BREJO DA GUABIRABA'!N34</f>
        <v>134.80000000000001</v>
      </c>
      <c r="F74" s="1">
        <f>'[7]BREJO DA GUABIRABA'!Q34</f>
        <v>186.72222222222223</v>
      </c>
      <c r="G74" s="1">
        <f>'[7]BREJO DA GUABIRABA'!T34</f>
        <v>157.94444444444446</v>
      </c>
      <c r="H74" s="1">
        <f>'[7]BREJO DA GUABIRABA'!W34</f>
        <v>285.68421052631578</v>
      </c>
      <c r="I74" s="1">
        <f>'[7]BREJO DA GUABIRABA'!Z34</f>
        <v>223.25</v>
      </c>
      <c r="J74" s="1">
        <f>'[7]BREJO DA GUABIRABA'!AC34</f>
        <v>139.83333333333334</v>
      </c>
      <c r="K74" s="1">
        <f>'[7]BREJO DA GUABIRABA'!AF34</f>
        <v>92.21052631578948</v>
      </c>
      <c r="L74" s="1">
        <f>'[7]BREJO DA GUABIRABA'!AI34</f>
        <v>144.42105263157896</v>
      </c>
      <c r="M74" s="1">
        <f>'[7]BREJO DA GUABIRABA'!AL34</f>
        <v>211.26315789473685</v>
      </c>
      <c r="N74" s="1">
        <f>'[7]BREJO DA GUABIRABA'!AO34</f>
        <v>193.78947368421052</v>
      </c>
      <c r="O74" s="1">
        <f>'[7]BREJO DA GUABIRABA'!AR34</f>
        <v>176.1764705882353</v>
      </c>
      <c r="P74" s="1">
        <f>'[7]BREJO DA GUABIRABA'!AU34</f>
        <v>191.94117647058823</v>
      </c>
      <c r="Q74" s="1">
        <f>'[7]BREJO DA GUABIRABA'!AX34</f>
        <v>175.68421052631578</v>
      </c>
      <c r="R74" s="1">
        <f>'[7]BREJO DA GUABIRABA'!BA34</f>
        <v>222.57142857142858</v>
      </c>
      <c r="S74" s="1">
        <f>'[7]BREJO DA GUABIRABA'!BD34</f>
        <v>158.16666666666666</v>
      </c>
      <c r="T74" s="1">
        <f>'[7]BREJO DA GUABIRABA'!BG34</f>
        <v>96.066666666666663</v>
      </c>
      <c r="U74" s="1" t="e">
        <f>'[7]BREJO DA GUABIRABA'!BJ34</f>
        <v>#DIV/0!</v>
      </c>
      <c r="V74" s="1" t="e">
        <f>'[7]BREJO DA GUABIRABA'!BM34</f>
        <v>#DIV/0!</v>
      </c>
      <c r="W74" s="1" t="e">
        <f>'[7]BREJO DA GUABIRABA'!BP34</f>
        <v>#DIV/0!</v>
      </c>
      <c r="X74" s="1" t="e">
        <f>'[7]BREJO DA GUABIRABA'!BS34</f>
        <v>#DIV/0!</v>
      </c>
      <c r="Y74" s="1" t="e">
        <f>'[7]BREJO DA GUABIRABA'!BV34</f>
        <v>#DIV/0!</v>
      </c>
      <c r="Z74" s="1" t="e">
        <f>'[7]BREJO DA GUABIRABA'!BY34</f>
        <v>#DIV/0!</v>
      </c>
      <c r="AA74" s="1" t="e">
        <f>'[7]BREJO DA GUABIRABA'!CB34</f>
        <v>#DIV/0!</v>
      </c>
      <c r="AB74" s="1" t="e">
        <f>'[7]BREJO DA GUABIRABA'!CE34</f>
        <v>#DIV/0!</v>
      </c>
      <c r="AC74">
        <f>'[7]BREJO DA GUABIRABA'!B36</f>
        <v>21</v>
      </c>
      <c r="AD74">
        <f>'[7]BREJO DA GUABIRABA'!B37</f>
        <v>14</v>
      </c>
      <c r="AE74">
        <f>'[7]BREJO DA GUABIRABA'!B38</f>
        <v>3</v>
      </c>
      <c r="AF74">
        <f>'[7]BREJO DA GUABIRABA'!B39</f>
        <v>0</v>
      </c>
      <c r="AG74">
        <f>'[7]BREJO DA GUABIRABA'!B40</f>
        <v>20</v>
      </c>
      <c r="AH74">
        <f>'[7]BREJO DA GUABIRABA'!$B$42</f>
        <v>20</v>
      </c>
      <c r="AI74">
        <f>'[7]BREJO DA GUABIRABA'!$B$43</f>
        <v>55235</v>
      </c>
    </row>
    <row r="75" spans="1:35" x14ac:dyDescent="0.25">
      <c r="A75" t="s">
        <v>70</v>
      </c>
      <c r="B75" t="s">
        <v>80</v>
      </c>
      <c r="C75" s="1">
        <f>'[7]CÓRR. DO JENIPAPO'!H31</f>
        <v>78.166666666666671</v>
      </c>
      <c r="D75" s="1">
        <f>'[7]CÓRR. DO JENIPAPO'!K31</f>
        <v>123.46153846153847</v>
      </c>
      <c r="E75" s="1">
        <f>'[7]CÓRR. DO JENIPAPO'!N31</f>
        <v>64.8125</v>
      </c>
      <c r="F75" s="1">
        <f>'[7]CÓRR. DO JENIPAPO'!Q31</f>
        <v>178.8125</v>
      </c>
      <c r="G75" s="1">
        <f>'[7]CÓRR. DO JENIPAPO'!T31</f>
        <v>93.785714285714292</v>
      </c>
      <c r="H75" s="1">
        <f>'[7]CÓRR. DO JENIPAPO'!W31</f>
        <v>102.5</v>
      </c>
      <c r="I75" s="1">
        <f>'[7]CÓRR. DO JENIPAPO'!Z31</f>
        <v>120.92857142857143</v>
      </c>
      <c r="J75" s="1">
        <f>'[7]CÓRR. DO JENIPAPO'!AC31</f>
        <v>60.625</v>
      </c>
      <c r="K75" s="1">
        <f>'[7]CÓRR. DO JENIPAPO'!AF31</f>
        <v>106.58823529411765</v>
      </c>
      <c r="L75" s="1">
        <f>'[7]CÓRR. DO JENIPAPO'!AI31</f>
        <v>57.866666666666667</v>
      </c>
      <c r="M75" s="1">
        <f>'[7]CÓRR. DO JENIPAPO'!AL31</f>
        <v>217.58823529411765</v>
      </c>
      <c r="N75" s="1">
        <f>'[7]CÓRR. DO JENIPAPO'!AO31</f>
        <v>66.5625</v>
      </c>
      <c r="O75" s="1">
        <f>'[7]CÓRR. DO JENIPAPO'!AR31</f>
        <v>47.625</v>
      </c>
      <c r="P75" s="1">
        <f>'[7]CÓRR. DO JENIPAPO'!AU31</f>
        <v>85.4375</v>
      </c>
      <c r="Q75" s="1">
        <f>'[7]CÓRR. DO JENIPAPO'!AX31</f>
        <v>121.76923076923077</v>
      </c>
      <c r="R75" s="1">
        <f>'[7]CÓRR. DO JENIPAPO'!BA31</f>
        <v>52.375</v>
      </c>
      <c r="S75" s="1">
        <f>'[7]CÓRR. DO JENIPAPO'!BD31</f>
        <v>91.8</v>
      </c>
      <c r="T75" s="1">
        <f>'[7]CÓRR. DO JENIPAPO'!BG31</f>
        <v>85.6875</v>
      </c>
      <c r="U75" s="1" t="e">
        <f>'[7]CÓRR. DO JENIPAPO'!BJ31</f>
        <v>#DIV/0!</v>
      </c>
      <c r="V75" s="1" t="e">
        <f>'[7]CÓRR. DO JENIPAPO'!BM31</f>
        <v>#DIV/0!</v>
      </c>
      <c r="W75" s="1" t="e">
        <f>'[7]CÓRR. DO JENIPAPO'!BP31</f>
        <v>#DIV/0!</v>
      </c>
      <c r="X75" s="1" t="e">
        <f>'[7]CÓRR. DO JENIPAPO'!BS31</f>
        <v>#DIV/0!</v>
      </c>
      <c r="Y75" s="1" t="e">
        <f>'[7]CÓRR. DO JENIPAPO'!BV31</f>
        <v>#DIV/0!</v>
      </c>
      <c r="Z75" s="1" t="e">
        <f>'[7]CÓRR. DO JENIPAPO'!BY31</f>
        <v>#DIV/0!</v>
      </c>
      <c r="AA75" s="1" t="e">
        <f>'[7]CÓRR. DO JENIPAPO'!CB31</f>
        <v>#DIV/0!</v>
      </c>
      <c r="AB75" s="1" t="e">
        <f>'[7]CÓRR. DO JENIPAPO'!CE31</f>
        <v>#DIV/0!</v>
      </c>
      <c r="AC75">
        <f>'[7]CÓRR. DO JENIPAPO'!B33</f>
        <v>13</v>
      </c>
      <c r="AD75">
        <f>'[7]CÓRR. DO JENIPAPO'!B34</f>
        <v>10</v>
      </c>
      <c r="AE75">
        <f>'[7]CÓRR. DO JENIPAPO'!B35</f>
        <v>2</v>
      </c>
      <c r="AF75">
        <f>'[7]CÓRR. DO JENIPAPO'!B36</f>
        <v>0</v>
      </c>
      <c r="AG75">
        <f>'[7]CÓRR. DO JENIPAPO'!B37</f>
        <v>11</v>
      </c>
      <c r="AH75">
        <f>'[7]CÓRR. DO JENIPAPO'!$B$39</f>
        <v>17</v>
      </c>
      <c r="AI75">
        <f>'[7]CÓRR. DO JENIPAPO'!$B$40</f>
        <v>26799</v>
      </c>
    </row>
    <row r="76" spans="1:35" x14ac:dyDescent="0.25">
      <c r="A76" t="s">
        <v>70</v>
      </c>
      <c r="B76" t="s">
        <v>81</v>
      </c>
      <c r="C76" s="1">
        <f>'[7]BREJO DO BEBERIBE'!H33</f>
        <v>120.52941176470588</v>
      </c>
      <c r="D76" s="1">
        <f>'[7]BREJO DO BEBERIBE'!K33</f>
        <v>210.33333333333334</v>
      </c>
      <c r="E76" s="1">
        <f>'[7]BREJO DO BEBERIBE'!N33</f>
        <v>372.64705882352939</v>
      </c>
      <c r="F76" s="1">
        <f>'[7]BREJO DO BEBERIBE'!Q33</f>
        <v>374.05263157894734</v>
      </c>
      <c r="G76" s="1">
        <f>'[7]BREJO DO BEBERIBE'!T33</f>
        <v>299.94444444444446</v>
      </c>
      <c r="H76" s="1">
        <f>'[7]BREJO DO BEBERIBE'!W33</f>
        <v>231.27777777777777</v>
      </c>
      <c r="I76" s="1">
        <f>'[7]BREJO DO BEBERIBE'!Z33</f>
        <v>352.52941176470586</v>
      </c>
      <c r="J76" s="1">
        <f>'[7]BREJO DO BEBERIBE'!AC33</f>
        <v>207.72222222222223</v>
      </c>
      <c r="K76" s="1">
        <f>'[7]BREJO DO BEBERIBE'!AF33</f>
        <v>95.9375</v>
      </c>
      <c r="L76" s="1">
        <f>'[7]BREJO DO BEBERIBE'!AI33</f>
        <v>157.78947368421052</v>
      </c>
      <c r="M76" s="1">
        <f>'[7]BREJO DO BEBERIBE'!AL33</f>
        <v>234.05263157894737</v>
      </c>
      <c r="N76" s="1">
        <f>'[7]BREJO DO BEBERIBE'!AO33</f>
        <v>158.33333333333334</v>
      </c>
      <c r="O76" s="1">
        <f>'[7]BREJO DO BEBERIBE'!AR33</f>
        <v>383.83333333333331</v>
      </c>
      <c r="P76" s="1">
        <f>'[7]BREJO DO BEBERIBE'!AU33</f>
        <v>251.16666666666666</v>
      </c>
      <c r="Q76" s="1">
        <f>'[7]BREJO DO BEBERIBE'!AX33</f>
        <v>334</v>
      </c>
      <c r="R76" s="1">
        <f>'[7]BREJO DO BEBERIBE'!BA33</f>
        <v>393.83333333333331</v>
      </c>
      <c r="S76" s="1">
        <f>'[7]BREJO DO BEBERIBE'!BD33</f>
        <v>195.42105263157896</v>
      </c>
      <c r="T76" s="1">
        <f>'[7]BREJO DO BEBERIBE'!BG33</f>
        <v>170.27777777777777</v>
      </c>
      <c r="U76" s="1" t="e">
        <f>'[7]BREJO DO BEBERIBE'!BJ33</f>
        <v>#DIV/0!</v>
      </c>
      <c r="V76" s="1" t="e">
        <f>'[7]BREJO DO BEBERIBE'!BM33</f>
        <v>#DIV/0!</v>
      </c>
      <c r="W76" s="1" t="e">
        <f>'[7]BREJO DO BEBERIBE'!BP33</f>
        <v>#DIV/0!</v>
      </c>
      <c r="X76" s="1" t="e">
        <f>'[7]BREJO DO BEBERIBE'!BS33</f>
        <v>#DIV/0!</v>
      </c>
      <c r="Y76" s="1" t="e">
        <f>'[7]BREJO DO BEBERIBE'!BV33</f>
        <v>#DIV/0!</v>
      </c>
      <c r="Z76" s="1" t="e">
        <f>'[7]BREJO DO BEBERIBE'!BY33</f>
        <v>#DIV/0!</v>
      </c>
      <c r="AA76" s="1" t="e">
        <f>'[7]BREJO DO BEBERIBE'!CB33</f>
        <v>#DIV/0!</v>
      </c>
      <c r="AB76" s="1" t="e">
        <f>'[7]BREJO DO BEBERIBE'!CE33</f>
        <v>#DIV/0!</v>
      </c>
      <c r="AC76">
        <f>'[7]BREJO DO BEBERIBE'!B35</f>
        <v>13</v>
      </c>
      <c r="AD76">
        <f>'[7]BREJO DO BEBERIBE'!B36</f>
        <v>3</v>
      </c>
      <c r="AE76">
        <f>'[7]BREJO DO BEBERIBE'!B37</f>
        <v>0</v>
      </c>
      <c r="AF76">
        <f>'[7]BREJO DO BEBERIBE'!B38</f>
        <v>0</v>
      </c>
      <c r="AG76">
        <f>'[7]BREJO DO BEBERIBE'!B39</f>
        <v>8</v>
      </c>
      <c r="AH76">
        <f>'[7]BREJO DO BEBERIBE'!$B$41</f>
        <v>19</v>
      </c>
      <c r="AI76">
        <f>'[7]BREJO DO BEBERIBE'!$B$42</f>
        <v>82044</v>
      </c>
    </row>
    <row r="77" spans="1:35" x14ac:dyDescent="0.25">
      <c r="A77" t="s">
        <v>70</v>
      </c>
      <c r="B77" t="s">
        <v>82</v>
      </c>
      <c r="C77" s="1">
        <f>[7]PASSARINHO!H70</f>
        <v>220.67391304347825</v>
      </c>
      <c r="D77" s="1">
        <f>[7]PASSARINHO!K70</f>
        <v>255.9387755102041</v>
      </c>
      <c r="E77" s="1">
        <f>[7]PASSARINHO!N70</f>
        <v>188.55319148936169</v>
      </c>
      <c r="F77" s="1">
        <f>[7]PASSARINHO!Q70</f>
        <v>314.91304347826087</v>
      </c>
      <c r="G77" s="1">
        <f>[7]PASSARINHO!T70</f>
        <v>241.77272727272728</v>
      </c>
      <c r="H77" s="1">
        <f>[7]PASSARINHO!W70</f>
        <v>255.30769230769232</v>
      </c>
      <c r="I77" s="1">
        <f>[7]PASSARINHO!Z70</f>
        <v>299.55769230769232</v>
      </c>
      <c r="J77" s="1">
        <f>[7]PASSARINHO!AC70</f>
        <v>140.62790697674419</v>
      </c>
      <c r="K77" s="1">
        <f>[7]PASSARINHO!AF70</f>
        <v>204.97916666666666</v>
      </c>
      <c r="L77" s="1">
        <f>[7]PASSARINHO!AI70</f>
        <v>327.44680851063828</v>
      </c>
      <c r="M77" s="1">
        <f>[7]PASSARINHO!AL70</f>
        <v>296.7659574468085</v>
      </c>
      <c r="N77" s="1">
        <f>[7]PASSARINHO!AO70</f>
        <v>194.0392156862745</v>
      </c>
      <c r="O77" s="1">
        <f>[7]PASSARINHO!AR70</f>
        <v>276.31481481481484</v>
      </c>
      <c r="P77" s="1">
        <f>[7]PASSARINHO!AU70</f>
        <v>200.36538461538461</v>
      </c>
      <c r="Q77" s="1">
        <f>[7]PASSARINHO!AX70</f>
        <v>189.55555555555554</v>
      </c>
      <c r="R77" s="1">
        <f>[7]PASSARINHO!BA70</f>
        <v>211.13461538461539</v>
      </c>
      <c r="S77" s="1">
        <f>[7]PASSARINHO!BD70</f>
        <v>293.4375</v>
      </c>
      <c r="T77" s="1">
        <f>[7]PASSARINHO!BG70</f>
        <v>165.56521739130434</v>
      </c>
      <c r="U77" s="1" t="e">
        <f>[7]PASSARINHO!BJ70</f>
        <v>#DIV/0!</v>
      </c>
      <c r="V77" s="1" t="e">
        <f>[7]PASSARINHO!BM70</f>
        <v>#DIV/0!</v>
      </c>
      <c r="W77" s="1" t="e">
        <f>[7]PASSARINHO!BP70</f>
        <v>#DIV/0!</v>
      </c>
      <c r="X77" s="1" t="e">
        <f>[7]PASSARINHO!BS70</f>
        <v>#DIV/0!</v>
      </c>
      <c r="Y77" s="1" t="e">
        <f>[7]PASSARINHO!BV70</f>
        <v>#DIV/0!</v>
      </c>
      <c r="Z77" s="1" t="e">
        <f>[7]PASSARINHO!BY70</f>
        <v>#DIV/0!</v>
      </c>
      <c r="AA77" s="1" t="e">
        <f>[7]PASSARINHO!CB70</f>
        <v>#DIV/0!</v>
      </c>
      <c r="AB77" s="1" t="e">
        <f>[7]PASSARINHO!CE70</f>
        <v>#DIV/0!</v>
      </c>
      <c r="AC77">
        <f>[7]PASSARINHO!B72</f>
        <v>70</v>
      </c>
      <c r="AD77">
        <f>[7]PASSARINHO!B73</f>
        <v>45</v>
      </c>
      <c r="AE77">
        <f>[7]PASSARINHO!B74</f>
        <v>7</v>
      </c>
      <c r="AF77">
        <f>[7]PASSARINHO!B75</f>
        <v>0</v>
      </c>
      <c r="AG77">
        <f>[7]PASSARINHO!B76</f>
        <v>71</v>
      </c>
      <c r="AH77">
        <f>[7]PASSARINHO!$B$78</f>
        <v>56</v>
      </c>
      <c r="AI77" s="5">
        <f>[7]PASSARINHO!$B$79</f>
        <v>208907</v>
      </c>
    </row>
    <row r="78" spans="1:35" x14ac:dyDescent="0.25">
      <c r="A78" t="s">
        <v>83</v>
      </c>
      <c r="B78" t="s">
        <v>84</v>
      </c>
      <c r="C78" s="1">
        <f>'[8]IBURA 1'!$H$69</f>
        <v>202.75</v>
      </c>
      <c r="D78" s="1">
        <f>'[8]IBURA 1'!$K$69</f>
        <v>197.13725490196077</v>
      </c>
      <c r="E78" s="1">
        <f>'[8]IBURA 1'!N69</f>
        <v>227.71153846153845</v>
      </c>
      <c r="F78" s="1">
        <f>'[8]IBURA 1'!Q69</f>
        <v>232.10204081632654</v>
      </c>
      <c r="G78" s="1">
        <f>'[8]IBURA 1'!T69</f>
        <v>235.17307692307693</v>
      </c>
      <c r="H78" s="1">
        <f>'[8]IBURA 1'!W69</f>
        <v>248</v>
      </c>
      <c r="I78" s="1">
        <f>'[8]IBURA 1'!Z69</f>
        <v>190.03773584905662</v>
      </c>
      <c r="J78" s="1">
        <f>'[8]IBURA 1'!AC69</f>
        <v>177.14814814814815</v>
      </c>
      <c r="K78" s="1">
        <f>'[8]IBURA 1'!AF69</f>
        <v>91.538461538461533</v>
      </c>
      <c r="L78" s="1">
        <f>'[8]IBURA 1'!AI69</f>
        <v>181.49019607843138</v>
      </c>
      <c r="M78" s="1">
        <f>'[8]IBURA 1'!AL69</f>
        <v>237.9814814814815</v>
      </c>
      <c r="N78" s="1">
        <f>'[8]IBURA 1'!AO69</f>
        <v>228.01923076923077</v>
      </c>
      <c r="O78" s="1">
        <f>'[8]IBURA 1'!AR69</f>
        <v>211.49056603773585</v>
      </c>
      <c r="P78" s="1">
        <f>'[8]IBURA 1'!AU69</f>
        <v>117.52830188679245</v>
      </c>
      <c r="Q78" s="1">
        <f>'[8]IBURA 1'!AX69</f>
        <v>168</v>
      </c>
      <c r="R78" s="1">
        <f>'[8]IBURA 1'!BA69</f>
        <v>120.67346938775511</v>
      </c>
      <c r="S78" s="1">
        <f>'[8]IBURA 1'!BD69</f>
        <v>164.75471698113208</v>
      </c>
      <c r="T78" s="1">
        <f>'[8]IBURA 1'!BG69</f>
        <v>81.166666666666671</v>
      </c>
      <c r="U78" s="1">
        <f>'[8]IBURA 1'!BJ69</f>
        <v>177.23076923076923</v>
      </c>
      <c r="V78" s="1" t="e">
        <f>'[8]IBURA 1'!BM69</f>
        <v>#DIV/0!</v>
      </c>
      <c r="W78" s="1" t="e">
        <f>'[8]IBURA 1'!BP69</f>
        <v>#DIV/0!</v>
      </c>
      <c r="X78" s="1" t="e">
        <f>'[8]IBURA 1'!BS69</f>
        <v>#DIV/0!</v>
      </c>
      <c r="Y78" s="1" t="e">
        <f>'[8]IBURA 1'!BV69</f>
        <v>#DIV/0!</v>
      </c>
      <c r="Z78" s="1" t="e">
        <f>'[8]IBURA 1'!BY69</f>
        <v>#DIV/0!</v>
      </c>
      <c r="AA78" s="1" t="e">
        <f>'[8]IBURA 1'!CB69</f>
        <v>#DIV/0!</v>
      </c>
      <c r="AB78" s="1" t="e">
        <f>'[8]IBURA 1'!CE69</f>
        <v>#DIV/0!</v>
      </c>
      <c r="AC78">
        <f>'[8]IBURA 1'!B71</f>
        <v>33</v>
      </c>
      <c r="AD78">
        <f>'[8]IBURA 1'!B72</f>
        <v>21</v>
      </c>
      <c r="AE78">
        <f>'[8]IBURA 1'!B73</f>
        <v>1</v>
      </c>
      <c r="AF78">
        <f>'[8]IBURA 1'!B74</f>
        <v>0</v>
      </c>
      <c r="AG78">
        <f>'[8]IBURA 1'!B75</f>
        <v>22</v>
      </c>
      <c r="AH78">
        <f>'[8]IBURA 1'!$B$77</f>
        <v>55</v>
      </c>
      <c r="AI78">
        <f>'[8]IBURA 1'!$B$78</f>
        <v>180170</v>
      </c>
    </row>
    <row r="79" spans="1:35" x14ac:dyDescent="0.25">
      <c r="A79" t="s">
        <v>83</v>
      </c>
      <c r="B79" t="s">
        <v>85</v>
      </c>
      <c r="C79" s="1">
        <f>'[8]IBURA 2'!$G$51</f>
        <v>142.43243243243242</v>
      </c>
      <c r="D79" s="1">
        <f>'[8]IBURA 2'!$J$51</f>
        <v>177.22857142857143</v>
      </c>
      <c r="E79" s="1">
        <f>'[8]IBURA 2'!M51</f>
        <v>222.94444444444446</v>
      </c>
      <c r="F79" s="1">
        <f>'[8]IBURA 2'!P51</f>
        <v>202.02702702702703</v>
      </c>
      <c r="G79" s="1">
        <f>'[8]IBURA 2'!S51</f>
        <v>290.65714285714284</v>
      </c>
      <c r="H79" s="1">
        <f>'[8]IBURA 2'!V51</f>
        <v>245.97222222222223</v>
      </c>
      <c r="I79" s="1">
        <f>'[8]IBURA 2'!Y51</f>
        <v>264.22222222222223</v>
      </c>
      <c r="J79" s="1">
        <f>'[8]IBURA 2'!AB51</f>
        <v>228.85714285714286</v>
      </c>
      <c r="K79" s="1">
        <f>'[8]IBURA 2'!AE51</f>
        <v>148.03125</v>
      </c>
      <c r="L79" s="1">
        <f>'[8]IBURA 2'!AH51</f>
        <v>279.02857142857141</v>
      </c>
      <c r="M79" s="1">
        <f>'[8]IBURA 2'!AK51</f>
        <v>241.05405405405406</v>
      </c>
      <c r="N79" s="1">
        <f>'[8]IBURA 2'!AN51</f>
        <v>215.75</v>
      </c>
      <c r="O79" s="1">
        <f>'[8]IBURA 2'!AQ51</f>
        <v>288</v>
      </c>
      <c r="P79" s="1">
        <f>'[8]IBURA 2'!AT51</f>
        <v>267.2</v>
      </c>
      <c r="Q79" s="1">
        <f>'[8]IBURA 2'!AW51</f>
        <v>248.94117647058823</v>
      </c>
      <c r="R79" s="1">
        <f>'[8]IBURA 2'!AZ51</f>
        <v>223.55555555555554</v>
      </c>
      <c r="S79" s="1">
        <f>'[8]IBURA 2'!BC51</f>
        <v>231.4</v>
      </c>
      <c r="T79" s="1">
        <f>'[8]IBURA 2'!BF51</f>
        <v>229.44117647058823</v>
      </c>
      <c r="U79" s="1">
        <f>'[8]IBURA 2'!BI51</f>
        <v>202.16666666666666</v>
      </c>
      <c r="V79" s="1" t="e">
        <f>'[8]IBURA 2'!BL51</f>
        <v>#DIV/0!</v>
      </c>
      <c r="W79" s="1" t="e">
        <f>'[8]IBURA 2'!BO51</f>
        <v>#DIV/0!</v>
      </c>
      <c r="X79" s="1" t="e">
        <f>'[8]IBURA 2'!BR51</f>
        <v>#DIV/0!</v>
      </c>
      <c r="Y79" s="1" t="e">
        <f>'[8]IBURA 2'!BU51</f>
        <v>#DIV/0!</v>
      </c>
      <c r="Z79" s="1" t="e">
        <f>'[8]IBURA 2'!BX51</f>
        <v>#DIV/0!</v>
      </c>
      <c r="AA79" s="1" t="e">
        <f>'[8]IBURA 2'!CA51</f>
        <v>#DIV/0!</v>
      </c>
      <c r="AB79" s="1" t="e">
        <f>'[8]IBURA 2'!CD51</f>
        <v>#DIV/0!</v>
      </c>
      <c r="AC79">
        <f>'[8]IBURA 2'!B53</f>
        <v>12</v>
      </c>
      <c r="AD79">
        <f>'[8]IBURA 2'!B54</f>
        <v>8</v>
      </c>
      <c r="AE79">
        <f>'[8]IBURA 2'!B55</f>
        <v>0</v>
      </c>
      <c r="AF79">
        <f>'[8]IBURA 2'!B56</f>
        <v>0</v>
      </c>
      <c r="AG79">
        <f>'[8]IBURA 2'!B57</f>
        <v>25</v>
      </c>
      <c r="AH79">
        <f>'[8]IBURA 2'!$B$59</f>
        <v>37</v>
      </c>
      <c r="AI79">
        <f>'[8]IBURA 2'!$B$60</f>
        <v>153547</v>
      </c>
    </row>
    <row r="80" spans="1:35" x14ac:dyDescent="0.25">
      <c r="A80" t="s">
        <v>83</v>
      </c>
      <c r="B80" t="s">
        <v>86</v>
      </c>
      <c r="C80" s="1">
        <f>'[8]IBURA 3'!G43</f>
        <v>227.41379310344828</v>
      </c>
      <c r="D80" s="1">
        <f>'[8]IBURA 3'!$J$43</f>
        <v>346.9655172413793</v>
      </c>
      <c r="E80" s="1">
        <f>'[8]IBURA 3'!M43</f>
        <v>415.20689655172413</v>
      </c>
      <c r="F80" s="1">
        <f>'[8]IBURA 3'!P43</f>
        <v>450.06896551724139</v>
      </c>
      <c r="G80" s="1">
        <f>'[8]IBURA 3'!S43</f>
        <v>225.78571428571428</v>
      </c>
      <c r="H80" s="1">
        <f>'[8]IBURA 3'!V43</f>
        <v>186.17857142857142</v>
      </c>
      <c r="I80" s="1">
        <f>'[8]IBURA 3'!Y43</f>
        <v>366.13793103448273</v>
      </c>
      <c r="J80" s="1">
        <f>'[8]IBURA 3'!AB43</f>
        <v>234.48275862068965</v>
      </c>
      <c r="K80" s="1">
        <f>'[8]IBURA 3'!AE43</f>
        <v>243.65517241379311</v>
      </c>
      <c r="L80" s="1">
        <f>'[8]IBURA 3'!AH43</f>
        <v>379.13793103448273</v>
      </c>
      <c r="M80" s="1">
        <f>'[8]IBURA 3'!AK43</f>
        <v>212.27586206896552</v>
      </c>
      <c r="N80" s="1">
        <f>'[8]IBURA 3'!AN43</f>
        <v>372.79310344827587</v>
      </c>
      <c r="O80" s="1">
        <f>'[8]IBURA 3'!AQ43</f>
        <v>384.65517241379308</v>
      </c>
      <c r="P80" s="1">
        <f>'[8]IBURA 3'!AT43</f>
        <v>244.46428571428572</v>
      </c>
      <c r="Q80" s="1">
        <f>'[8]IBURA 3'!AW43</f>
        <v>279.06896551724139</v>
      </c>
      <c r="R80" s="1">
        <f>'[8]IBURA 3'!AZ43</f>
        <v>278.37931034482756</v>
      </c>
      <c r="S80" s="1">
        <f>'[8]IBURA 3'!BC43</f>
        <v>328.34482758620692</v>
      </c>
      <c r="T80" s="1">
        <f>'[8]IBURA 3'!BF43</f>
        <v>273.89655172413791</v>
      </c>
      <c r="U80" s="1">
        <f>'[8]IBURA 3'!BI43</f>
        <v>384.79310344827587</v>
      </c>
      <c r="V80" s="1" t="e">
        <f>'[8]IBURA 3'!BL43</f>
        <v>#DIV/0!</v>
      </c>
      <c r="W80" s="1" t="e">
        <f>'[8]IBURA 3'!BO43</f>
        <v>#DIV/0!</v>
      </c>
      <c r="X80" s="1" t="e">
        <f>'[8]IBURA 3'!BR43</f>
        <v>#DIV/0!</v>
      </c>
      <c r="Y80" s="1" t="e">
        <f>'[8]IBURA 3'!BU43</f>
        <v>#DIV/0!</v>
      </c>
      <c r="Z80" s="1" t="e">
        <f>'[8]IBURA 3'!BX43</f>
        <v>#DIV/0!</v>
      </c>
      <c r="AA80" s="1" t="e">
        <f>'[8]IBURA 3'!CA43</f>
        <v>#DIV/0!</v>
      </c>
      <c r="AB80" s="1" t="e">
        <f>'[8]IBURA 3'!CD43</f>
        <v>#DIV/0!</v>
      </c>
      <c r="AC80">
        <f>'[8]IBURA 3'!B45</f>
        <v>0</v>
      </c>
      <c r="AD80">
        <f>'[8]IBURA 3'!B46</f>
        <v>2</v>
      </c>
      <c r="AE80">
        <f>'[8]IBURA 3'!B47</f>
        <v>0</v>
      </c>
      <c r="AF80">
        <f>'[8]IBURA 3'!B48</f>
        <v>0</v>
      </c>
      <c r="AG80">
        <f>'[8]IBURA 3'!B49</f>
        <v>0</v>
      </c>
      <c r="AH80">
        <f>'[8]IBURA 3'!$B$51</f>
        <v>29</v>
      </c>
      <c r="AI80">
        <f>'[8]IBURA 3'!$B$52</f>
        <v>168521</v>
      </c>
    </row>
    <row r="81" spans="1:35" x14ac:dyDescent="0.25">
      <c r="A81" t="s">
        <v>83</v>
      </c>
      <c r="B81" t="s">
        <v>87</v>
      </c>
      <c r="C81" s="1">
        <f>[8]JORDÃO!G66</f>
        <v>225.84090909090909</v>
      </c>
      <c r="D81" s="1">
        <f>[8]JORDÃO!J66</f>
        <v>265.26086956521738</v>
      </c>
      <c r="E81" s="1">
        <f>[8]JORDÃO!M66</f>
        <v>281.36363636363637</v>
      </c>
      <c r="F81" s="1">
        <f>[8]JORDÃO!P66</f>
        <v>361.08163265306121</v>
      </c>
      <c r="G81" s="1">
        <f>[8]JORDÃO!S66</f>
        <v>283.875</v>
      </c>
      <c r="H81" s="1">
        <f>[8]JORDÃO!V66</f>
        <v>269.08695652173913</v>
      </c>
      <c r="I81" s="1">
        <f>[8]JORDÃO!Y66</f>
        <v>345.55319148936172</v>
      </c>
      <c r="J81" s="1">
        <f>[8]JORDÃO!AB66</f>
        <v>232.65853658536585</v>
      </c>
      <c r="K81" s="1">
        <f>[8]JORDÃO!AE66</f>
        <v>269.6829268292683</v>
      </c>
      <c r="L81" s="1">
        <f>[8]JORDÃO!AH66</f>
        <v>249.46666666666667</v>
      </c>
      <c r="M81" s="1">
        <f>[8]JORDÃO!AK66</f>
        <v>333.875</v>
      </c>
      <c r="N81" s="1">
        <f>[8]JORDÃO!AN66</f>
        <v>328.77777777777777</v>
      </c>
      <c r="O81" s="1">
        <f>[8]JORDÃO!AQ66</f>
        <v>182.53191489361703</v>
      </c>
      <c r="P81" s="1">
        <f>[8]JORDÃO!AT66</f>
        <v>182.52272727272728</v>
      </c>
      <c r="Q81" s="1">
        <f>[8]JORDÃO!AW66</f>
        <v>311.65853658536588</v>
      </c>
      <c r="R81" s="1">
        <f>[8]JORDÃO!AZ66</f>
        <v>245.19565217391303</v>
      </c>
      <c r="S81" s="1">
        <f>[8]JORDÃO!BC66</f>
        <v>340.20833333333331</v>
      </c>
      <c r="T81" s="1">
        <f>[8]JORDÃO!BF66</f>
        <v>239.38095238095238</v>
      </c>
      <c r="U81" s="1">
        <f>[8]JORDÃO!BI66</f>
        <v>174.57894736842104</v>
      </c>
      <c r="V81" s="1" t="e">
        <f>[8]JORDÃO!BL66</f>
        <v>#DIV/0!</v>
      </c>
      <c r="W81" s="1" t="e">
        <f>[8]JORDÃO!BO66</f>
        <v>#DIV/0!</v>
      </c>
      <c r="X81" s="1" t="e">
        <f>[8]JORDÃO!BR66</f>
        <v>#DIV/0!</v>
      </c>
      <c r="Y81" s="1" t="e">
        <f>[8]JORDÃO!BU66</f>
        <v>#DIV/0!</v>
      </c>
      <c r="Z81" s="1" t="e">
        <f>[8]JORDÃO!BX66</f>
        <v>#DIV/0!</v>
      </c>
      <c r="AA81" s="1" t="e">
        <f>[8]JORDÃO!CA66</f>
        <v>#DIV/0!</v>
      </c>
      <c r="AB81" s="1" t="e">
        <f>[8]JORDÃO!CD66</f>
        <v>#DIV/0!</v>
      </c>
      <c r="AC81">
        <f>[8]JORDÃO!B68</f>
        <v>86</v>
      </c>
      <c r="AD81">
        <f>[8]JORDÃO!B69</f>
        <v>39</v>
      </c>
      <c r="AE81">
        <f>[8]JORDÃO!B70</f>
        <v>3</v>
      </c>
      <c r="AF81">
        <f>[8]JORDÃO!B71</f>
        <v>0</v>
      </c>
      <c r="AG81">
        <f>[8]JORDÃO!B72</f>
        <v>64</v>
      </c>
      <c r="AH81">
        <f>[8]JORDÃO!$B$74</f>
        <v>52</v>
      </c>
      <c r="AI81">
        <f>[8]JORDÃO!$B$75</f>
        <v>230785</v>
      </c>
    </row>
    <row r="82" spans="1:35" x14ac:dyDescent="0.25">
      <c r="A82" t="s">
        <v>83</v>
      </c>
      <c r="B82" t="s">
        <v>88</v>
      </c>
      <c r="C82" s="1">
        <f>'[8]COHAB 1'!G47</f>
        <v>244.29032258064515</v>
      </c>
      <c r="D82" s="1">
        <f>'[8]COHAB 1'!J47</f>
        <v>295.61290322580646</v>
      </c>
      <c r="E82" s="1">
        <f>'[8]COHAB 1'!M47</f>
        <v>478.6875</v>
      </c>
      <c r="F82" s="1">
        <f>'[8]COHAB 1'!P47</f>
        <v>381.84375</v>
      </c>
      <c r="G82" s="1">
        <f>'[8]COHAB 1'!S47</f>
        <v>343.09375</v>
      </c>
      <c r="H82" s="1">
        <f>'[8]COHAB 1'!V47</f>
        <v>332.15625</v>
      </c>
      <c r="I82" s="1">
        <f>'[8]COHAB 1'!Y47</f>
        <v>312.969696969697</v>
      </c>
      <c r="J82" s="1">
        <f>'[8]COHAB 1'!AB47</f>
        <v>252.75</v>
      </c>
      <c r="K82" s="1">
        <f>'[8]COHAB 1'!AE47</f>
        <v>228.21212121212122</v>
      </c>
      <c r="L82" s="1">
        <f>'[8]COHAB 1'!AH47</f>
        <v>310.78125</v>
      </c>
      <c r="M82" s="1">
        <f>'[8]COHAB 1'!AK47</f>
        <v>323.81818181818181</v>
      </c>
      <c r="N82" s="1">
        <f>'[8]COHAB 1'!AN47</f>
        <v>294.74193548387098</v>
      </c>
      <c r="O82" s="1">
        <f>'[8]COHAB 1'!AQ47</f>
        <v>221.38709677419354</v>
      </c>
      <c r="P82" s="1">
        <f>'[8]COHAB 1'!AT47</f>
        <v>208.87878787878788</v>
      </c>
      <c r="Q82" s="1">
        <f>'[8]COHAB 1'!AW47</f>
        <v>229.35483870967741</v>
      </c>
      <c r="R82" s="1">
        <f>'[8]COHAB 1'!AZ47</f>
        <v>226</v>
      </c>
      <c r="S82" s="1">
        <f>'[8]COHAB 1'!BC47</f>
        <v>158.29032258064515</v>
      </c>
      <c r="T82" s="1">
        <f>'[8]COHAB 1'!BF47</f>
        <v>176.78571428571428</v>
      </c>
      <c r="U82" s="1">
        <f>'[8]COHAB 1'!BI47</f>
        <v>219.70967741935485</v>
      </c>
      <c r="V82" s="1" t="e">
        <f>'[8]COHAB 1'!BL47</f>
        <v>#DIV/0!</v>
      </c>
      <c r="W82" s="1" t="e">
        <f>'[8]COHAB 1'!BO47</f>
        <v>#DIV/0!</v>
      </c>
      <c r="X82" s="1" t="e">
        <f>'[8]COHAB 1'!BR47</f>
        <v>#DIV/0!</v>
      </c>
      <c r="Y82" s="1" t="e">
        <f>'[8]COHAB 1'!BU47</f>
        <v>#DIV/0!</v>
      </c>
      <c r="Z82" s="1" t="e">
        <f>'[8]COHAB 1'!BX47</f>
        <v>#DIV/0!</v>
      </c>
      <c r="AA82" s="1" t="e">
        <f>'[8]COHAB 1'!CA47</f>
        <v>#DIV/0!</v>
      </c>
      <c r="AB82" s="1" t="e">
        <f>'[8]COHAB 1'!CD47</f>
        <v>#DIV/0!</v>
      </c>
      <c r="AC82">
        <f>'[8]COHAB 1'!B49</f>
        <v>18</v>
      </c>
      <c r="AD82">
        <f>'[8]COHAB 1'!B50</f>
        <v>7</v>
      </c>
      <c r="AE82">
        <f>'[8]COHAB 1'!B51</f>
        <v>0</v>
      </c>
      <c r="AF82">
        <f>'[8]COHAB 1'!B52</f>
        <v>0</v>
      </c>
      <c r="AG82">
        <f>'[8]COHAB 1'!B53</f>
        <v>19</v>
      </c>
      <c r="AH82">
        <f>'[8]COHAB 1'!$B$55</f>
        <v>33</v>
      </c>
      <c r="AI82">
        <f>'[8]COHAB 1'!$B$56</f>
        <v>166363</v>
      </c>
    </row>
    <row r="83" spans="1:35" x14ac:dyDescent="0.25">
      <c r="A83" t="s">
        <v>83</v>
      </c>
      <c r="B83" t="s">
        <v>89</v>
      </c>
      <c r="C83" s="1">
        <f>'[8]COHAB 2'!G50</f>
        <v>156.90625</v>
      </c>
      <c r="D83" s="1">
        <f>'[8]COHAB 2'!J50</f>
        <v>435.41176470588238</v>
      </c>
      <c r="E83" s="1">
        <f>'[8]COHAB 2'!M50</f>
        <v>338.40625</v>
      </c>
      <c r="F83" s="1">
        <f>'[8]COHAB 2'!P50</f>
        <v>336.71428571428572</v>
      </c>
      <c r="G83" s="1">
        <f>'[8]COHAB 2'!S50</f>
        <v>349.78787878787881</v>
      </c>
      <c r="H83" s="1">
        <f>'[8]COHAB 2'!V50</f>
        <v>416.1764705882353</v>
      </c>
      <c r="I83" s="1">
        <f>'[8]COHAB 2'!Y50</f>
        <v>406.58823529411762</v>
      </c>
      <c r="J83" s="1">
        <f>'[8]COHAB 2'!AB50</f>
        <v>372</v>
      </c>
      <c r="K83" s="1">
        <f>'[8]COHAB 2'!AE50</f>
        <v>339.61764705882354</v>
      </c>
      <c r="L83" s="1">
        <f>'[8]COHAB 2'!AH50</f>
        <v>440.97142857142859</v>
      </c>
      <c r="M83" s="1">
        <f>'[8]COHAB 2'!AK50</f>
        <v>396.4</v>
      </c>
      <c r="N83" s="1">
        <f>'[8]COHAB 2'!AN50</f>
        <v>272.36363636363637</v>
      </c>
      <c r="O83" s="1">
        <f>'[8]COHAB 2'!AQ50</f>
        <v>365.75</v>
      </c>
      <c r="P83" s="1">
        <f>'[8]COHAB 2'!AT50</f>
        <v>347.03125</v>
      </c>
      <c r="Q83" s="1">
        <f>'[8]COHAB 2'!AW50</f>
        <v>236.81818181818181</v>
      </c>
      <c r="R83" s="1">
        <f>'[8]COHAB 2'!AZ50</f>
        <v>346.4848484848485</v>
      </c>
      <c r="S83" s="1">
        <f>'[8]COHAB 2'!BC50</f>
        <v>350.8125</v>
      </c>
      <c r="T83" s="1">
        <f>'[8]COHAB 2'!BF50</f>
        <v>288</v>
      </c>
      <c r="U83" s="1">
        <f>'[8]COHAB 2'!BI50</f>
        <v>364.72413793103448</v>
      </c>
      <c r="V83" s="1" t="e">
        <f>'[8]COHAB 2'!BL50</f>
        <v>#DIV/0!</v>
      </c>
      <c r="W83" s="1" t="e">
        <f>'[8]COHAB 2'!BO50</f>
        <v>#DIV/0!</v>
      </c>
      <c r="X83" s="1" t="e">
        <f>'[8]COHAB 2'!BR50</f>
        <v>#DIV/0!</v>
      </c>
      <c r="Y83" s="1" t="e">
        <f>'[8]COHAB 2'!BU50</f>
        <v>#DIV/0!</v>
      </c>
      <c r="Z83" s="1" t="e">
        <f>'[8]COHAB 2'!BX50</f>
        <v>#DIV/0!</v>
      </c>
      <c r="AA83" s="1" t="e">
        <f>'[8]COHAB 2'!CA50</f>
        <v>#DIV/0!</v>
      </c>
      <c r="AB83" s="1" t="e">
        <f>'[8]COHAB 2'!CD50</f>
        <v>#DIV/0!</v>
      </c>
      <c r="AC83">
        <f>'[8]COHAB 2'!B52</f>
        <v>41</v>
      </c>
      <c r="AD83">
        <f>'[8]COHAB 2'!B53</f>
        <v>17</v>
      </c>
      <c r="AE83">
        <f>'[8]COHAB 2'!B54</f>
        <v>1</v>
      </c>
      <c r="AF83">
        <f>'[8]COHAB 2'!B55</f>
        <v>0</v>
      </c>
      <c r="AG83">
        <f>'[8]COHAB 2'!B56</f>
        <v>37</v>
      </c>
      <c r="AH83">
        <f>'[8]COHAB 2'!$B$58</f>
        <v>36</v>
      </c>
      <c r="AI83">
        <f>'[8]COHAB 2'!$B$59</f>
        <v>215916</v>
      </c>
    </row>
    <row r="84" spans="1:35" x14ac:dyDescent="0.25">
      <c r="A84" t="s">
        <v>83</v>
      </c>
      <c r="B84" t="s">
        <v>90</v>
      </c>
      <c r="C84" s="1">
        <f>'[8]COHAB 3'!G39</f>
        <v>188.72</v>
      </c>
      <c r="D84" s="1">
        <f>'[8]COHAB 3'!J39</f>
        <v>127.625</v>
      </c>
      <c r="E84" s="1">
        <f>'[8]COHAB 3'!M39</f>
        <v>291.08</v>
      </c>
      <c r="F84" s="1">
        <f>'[8]COHAB 3'!P39</f>
        <v>233.48</v>
      </c>
      <c r="G84" s="1">
        <f>'[8]COHAB 3'!S39</f>
        <v>147.63999999999999</v>
      </c>
      <c r="H84" s="1">
        <f>'[8]COHAB 3'!V39</f>
        <v>275.76</v>
      </c>
      <c r="I84" s="1">
        <f>'[8]COHAB 3'!Y39</f>
        <v>263.12</v>
      </c>
      <c r="J84" s="1">
        <f>'[8]COHAB 3'!AB39</f>
        <v>312.70833333333331</v>
      </c>
      <c r="K84" s="1">
        <f>'[8]COHAB 3'!AE39</f>
        <v>177.48</v>
      </c>
      <c r="L84" s="1">
        <f>'[8]COHAB 3'!AH39</f>
        <v>370.6</v>
      </c>
      <c r="M84" s="1">
        <f>'[8]COHAB 3'!AK39</f>
        <v>280.24</v>
      </c>
      <c r="N84" s="1">
        <f>'[8]COHAB 3'!AN39</f>
        <v>254.84</v>
      </c>
      <c r="O84" s="1">
        <f>'[8]COHAB 3'!AQ39</f>
        <v>149.28</v>
      </c>
      <c r="P84" s="1">
        <f>'[8]COHAB 3'!AT39</f>
        <v>224.48</v>
      </c>
      <c r="Q84" s="1">
        <f>'[8]COHAB 3'!AW39</f>
        <v>278.36</v>
      </c>
      <c r="R84" s="1">
        <f>'[8]COHAB 3'!AZ39</f>
        <v>293.54166666666669</v>
      </c>
      <c r="S84" s="1">
        <f>'[8]COHAB 3'!BC39</f>
        <v>300.20833333333331</v>
      </c>
      <c r="T84" s="1">
        <f>'[8]COHAB 3'!BF39</f>
        <v>282</v>
      </c>
      <c r="U84" s="1">
        <f>'[8]COHAB 3'!BI39</f>
        <v>304.68</v>
      </c>
      <c r="V84" s="1" t="e">
        <f>'[8]COHAB 3'!BL39</f>
        <v>#DIV/0!</v>
      </c>
      <c r="W84" s="1" t="e">
        <f>'[8]COHAB 3'!BO39</f>
        <v>#DIV/0!</v>
      </c>
      <c r="X84" s="1" t="e">
        <f>'[8]COHAB 3'!BR39</f>
        <v>#DIV/0!</v>
      </c>
      <c r="Y84" s="1" t="e">
        <f>'[8]COHAB 3'!BU39</f>
        <v>#DIV/0!</v>
      </c>
      <c r="Z84" s="1" t="e">
        <f>'[8]COHAB 3'!BX39</f>
        <v>#DIV/0!</v>
      </c>
      <c r="AA84" s="1" t="e">
        <f>'[8]COHAB 3'!CA39</f>
        <v>#DIV/0!</v>
      </c>
      <c r="AB84" s="1" t="e">
        <f>'[8]COHAB 3'!CD39</f>
        <v>#DIV/0!</v>
      </c>
      <c r="AC84">
        <f>'[8]COHAB 3'!B41</f>
        <v>2</v>
      </c>
      <c r="AD84">
        <f>'[8]COHAB 3'!B42</f>
        <v>1</v>
      </c>
      <c r="AE84">
        <f>'[8]COHAB 3'!B43</f>
        <v>0</v>
      </c>
      <c r="AF84">
        <f>'[8]COHAB 3'!B44</f>
        <v>0</v>
      </c>
      <c r="AG84">
        <f>'[8]COHAB 3'!B45</f>
        <v>2</v>
      </c>
      <c r="AH84">
        <f>'[8]COHAB 3'!$B$47</f>
        <v>25</v>
      </c>
      <c r="AI84">
        <f>'[8]COHAB 3'!$B$48</f>
        <v>117862</v>
      </c>
    </row>
    <row r="85" spans="1:35" x14ac:dyDescent="0.25">
      <c r="A85" t="s">
        <v>83</v>
      </c>
      <c r="B85" t="s">
        <v>91</v>
      </c>
      <c r="C85" s="1">
        <f>'[8]COHAB 4'!$G$45</f>
        <v>183.24137931034483</v>
      </c>
      <c r="D85" s="1">
        <f>'[8]COHAB 4'!$J$45</f>
        <v>274.85714285714283</v>
      </c>
      <c r="E85" s="1">
        <f>'[8]COHAB 4'!M45</f>
        <v>307.43333333333334</v>
      </c>
      <c r="F85" s="1">
        <f>'[8]COHAB 4'!P45</f>
        <v>276.13333333333333</v>
      </c>
      <c r="G85" s="1">
        <f>'[8]COHAB 4'!S45</f>
        <v>258.38709677419354</v>
      </c>
      <c r="H85" s="1">
        <f>'[8]COHAB 4'!V45</f>
        <v>236.58064516129033</v>
      </c>
      <c r="I85" s="1">
        <f>'[8]COHAB 4'!Y45</f>
        <v>320</v>
      </c>
      <c r="J85" s="1">
        <f>'[8]COHAB 4'!AB45</f>
        <v>287.31034482758622</v>
      </c>
      <c r="K85" s="1">
        <f>'[8]COHAB 4'!AE45</f>
        <v>144.90322580645162</v>
      </c>
      <c r="L85" s="1">
        <f>'[8]COHAB 4'!AH45</f>
        <v>274.83333333333331</v>
      </c>
      <c r="M85" s="1">
        <f>'[8]COHAB 4'!AK45</f>
        <v>456.48275862068965</v>
      </c>
      <c r="N85" s="1">
        <f>'[8]COHAB 4'!AN45</f>
        <v>277.43333333333334</v>
      </c>
      <c r="O85" s="1">
        <f>'[8]COHAB 4'!AQ45</f>
        <v>304.86206896551727</v>
      </c>
      <c r="P85" s="1">
        <f>'[8]COHAB 4'!AT45</f>
        <v>243.23333333333332</v>
      </c>
      <c r="Q85" s="1">
        <f>'[8]COHAB 4'!AW45</f>
        <v>210.2962962962963</v>
      </c>
      <c r="R85" s="1">
        <f>'[8]COHAB 4'!AZ45</f>
        <v>251.93103448275863</v>
      </c>
      <c r="S85" s="1">
        <f>'[8]COHAB 4'!BC45</f>
        <v>147.43333333333334</v>
      </c>
      <c r="T85" s="1">
        <f>'[8]COHAB 4'!BF45</f>
        <v>237.23076923076923</v>
      </c>
      <c r="U85" s="1">
        <f>'[8]COHAB 4'!BI45</f>
        <v>170.5185185185185</v>
      </c>
      <c r="V85" s="1" t="e">
        <f>'[8]COHAB 4'!BL45</f>
        <v>#DIV/0!</v>
      </c>
      <c r="W85" s="1" t="e">
        <f>'[8]COHAB 4'!BO45</f>
        <v>#DIV/0!</v>
      </c>
      <c r="X85" s="1" t="e">
        <f>'[8]COHAB 4'!BR45</f>
        <v>#DIV/0!</v>
      </c>
      <c r="Y85" s="1" t="e">
        <f>'[8]COHAB 4'!BU45</f>
        <v>#DIV/0!</v>
      </c>
      <c r="Z85" s="1" t="e">
        <f>'[8]COHAB 4'!BX45</f>
        <v>#DIV/0!</v>
      </c>
      <c r="AA85" s="1" t="e">
        <f>'[8]COHAB 4'!CA45</f>
        <v>#DIV/0!</v>
      </c>
      <c r="AB85" s="1" t="e">
        <f>'[8]COHAB 4'!CD45</f>
        <v>#DIV/0!</v>
      </c>
      <c r="AC85">
        <f>'[8]COHAB 4'!B47</f>
        <v>25</v>
      </c>
      <c r="AD85">
        <f>'[8]COHAB 4'!B48</f>
        <v>8</v>
      </c>
      <c r="AE85">
        <f>'[8]COHAB 4'!B49</f>
        <v>1</v>
      </c>
      <c r="AF85">
        <f>'[8]COHAB 4'!B50</f>
        <v>0</v>
      </c>
      <c r="AG85">
        <f>'[8]COHAB 4'!B51</f>
        <v>26</v>
      </c>
      <c r="AH85">
        <f>'[8]COHAB 4'!$B$53</f>
        <v>31</v>
      </c>
      <c r="AI85">
        <f>'[8]COHAB 4'!$B$54</f>
        <v>141768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2"/>
  <sheetViews>
    <sheetView workbookViewId="0">
      <selection activeCell="A3" sqref="A3"/>
    </sheetView>
  </sheetViews>
  <sheetFormatPr defaultRowHeight="15" x14ac:dyDescent="0.25"/>
  <cols>
    <col min="1" max="1" width="18" bestFit="1" customWidth="1"/>
    <col min="2" max="10" width="16.5703125" customWidth="1"/>
    <col min="11" max="14" width="17.7109375" customWidth="1"/>
  </cols>
  <sheetData>
    <row r="3" spans="1:14" x14ac:dyDescent="0.25">
      <c r="A3" s="2" t="s">
        <v>127</v>
      </c>
      <c r="B3" t="s">
        <v>129</v>
      </c>
      <c r="C3" t="s">
        <v>130</v>
      </c>
      <c r="D3" t="s">
        <v>131</v>
      </c>
      <c r="E3" t="s">
        <v>132</v>
      </c>
      <c r="F3" t="s">
        <v>133</v>
      </c>
      <c r="G3" t="s">
        <v>134</v>
      </c>
      <c r="H3" t="s">
        <v>135</v>
      </c>
      <c r="I3" t="s">
        <v>136</v>
      </c>
      <c r="J3" t="s">
        <v>137</v>
      </c>
      <c r="K3" t="s">
        <v>138</v>
      </c>
      <c r="L3" t="s">
        <v>139</v>
      </c>
      <c r="M3" t="s">
        <v>140</v>
      </c>
      <c r="N3" t="s">
        <v>141</v>
      </c>
    </row>
    <row r="4" spans="1:14" x14ac:dyDescent="0.25">
      <c r="A4" s="3" t="s">
        <v>54</v>
      </c>
      <c r="B4" s="1">
        <v>236.09510634035544</v>
      </c>
      <c r="C4" s="1">
        <v>206.3776001855629</v>
      </c>
      <c r="D4" s="1">
        <v>187.12096738602762</v>
      </c>
      <c r="E4" s="1">
        <v>177.80286468581923</v>
      </c>
      <c r="F4" s="1">
        <v>144.07533145355194</v>
      </c>
      <c r="G4" s="1">
        <v>187.13977800447145</v>
      </c>
      <c r="H4" s="1">
        <v>157.84584047031194</v>
      </c>
      <c r="I4" s="1">
        <v>178.53891994307736</v>
      </c>
      <c r="J4" s="1">
        <v>240.9951934885122</v>
      </c>
      <c r="K4" s="1">
        <v>203.91600909413012</v>
      </c>
      <c r="L4" s="1">
        <v>185.77237507192146</v>
      </c>
      <c r="M4" s="1">
        <v>214.59316555339277</v>
      </c>
      <c r="N4" s="1">
        <v>262.40215597434849</v>
      </c>
    </row>
    <row r="5" spans="1:14" x14ac:dyDescent="0.25">
      <c r="A5" s="3" t="s">
        <v>55</v>
      </c>
      <c r="B5" s="1">
        <v>258.42282414888786</v>
      </c>
      <c r="C5" s="1">
        <v>207.06826100229694</v>
      </c>
      <c r="D5" s="1">
        <v>178.16449113120495</v>
      </c>
      <c r="E5" s="1">
        <v>267.00948495740556</v>
      </c>
      <c r="F5" s="1">
        <v>211.69186411086073</v>
      </c>
      <c r="G5" s="1">
        <v>288.34016494377664</v>
      </c>
      <c r="H5" s="1">
        <v>248.04004873765047</v>
      </c>
      <c r="I5" s="1">
        <v>230.96747740927731</v>
      </c>
      <c r="J5" s="1">
        <v>211.95946375449751</v>
      </c>
      <c r="K5" s="1">
        <v>212.16161101299508</v>
      </c>
      <c r="L5" s="1">
        <v>232.34943216254274</v>
      </c>
      <c r="M5" s="1">
        <v>212.21474614109093</v>
      </c>
      <c r="N5" s="1">
        <v>303.10871819768226</v>
      </c>
    </row>
    <row r="6" spans="1:14" x14ac:dyDescent="0.25">
      <c r="A6" s="3" t="s">
        <v>56</v>
      </c>
      <c r="B6" s="1">
        <v>282.50739894682908</v>
      </c>
      <c r="C6" s="1">
        <v>208.99003497724087</v>
      </c>
      <c r="D6" s="1">
        <v>183.43506502162271</v>
      </c>
      <c r="E6" s="1">
        <v>229.6154184746176</v>
      </c>
      <c r="F6" s="1">
        <v>270.71323921485566</v>
      </c>
      <c r="G6" s="1">
        <v>244.96570936345557</v>
      </c>
      <c r="H6" s="1">
        <v>201.43283514936218</v>
      </c>
      <c r="I6" s="1">
        <v>201.32361904619572</v>
      </c>
      <c r="J6" s="1">
        <v>196.82138181037962</v>
      </c>
      <c r="K6" s="1">
        <v>185.43917566844547</v>
      </c>
      <c r="L6" s="1">
        <v>160.79586622195717</v>
      </c>
      <c r="M6" s="1">
        <v>123.14319522784299</v>
      </c>
      <c r="N6" s="1">
        <v>203.38290546070152</v>
      </c>
    </row>
    <row r="7" spans="1:14" x14ac:dyDescent="0.25">
      <c r="A7" s="3" t="s">
        <v>57</v>
      </c>
      <c r="B7" s="1">
        <v>200.14230606921518</v>
      </c>
      <c r="C7" s="1">
        <v>196.78933338518323</v>
      </c>
      <c r="D7" s="1">
        <v>236.08496022039566</v>
      </c>
      <c r="E7" s="1">
        <v>263.30300556324579</v>
      </c>
      <c r="F7" s="1">
        <v>180.9147274988693</v>
      </c>
      <c r="G7" s="1">
        <v>199.73764472198724</v>
      </c>
      <c r="H7" s="1">
        <v>210.19409329586318</v>
      </c>
      <c r="I7" s="1">
        <v>186.32581715521826</v>
      </c>
      <c r="J7" s="1">
        <v>194.97231031275609</v>
      </c>
      <c r="K7" s="1">
        <v>184.08233858296455</v>
      </c>
      <c r="L7" s="1">
        <v>190.96040618574511</v>
      </c>
      <c r="M7" s="1">
        <v>132.27088340848587</v>
      </c>
      <c r="N7" s="1">
        <v>239.29390185845813</v>
      </c>
    </row>
    <row r="8" spans="1:14" x14ac:dyDescent="0.25">
      <c r="A8" s="3" t="s">
        <v>58</v>
      </c>
      <c r="B8" s="1">
        <v>214.56881629108517</v>
      </c>
      <c r="C8" s="1">
        <v>157.91369536400165</v>
      </c>
      <c r="D8" s="1">
        <v>137.06467531294044</v>
      </c>
      <c r="E8" s="1">
        <v>236.42345243473733</v>
      </c>
      <c r="F8" s="1">
        <v>179.92942648749099</v>
      </c>
      <c r="G8" s="1">
        <v>201.85800744370167</v>
      </c>
      <c r="H8" s="1">
        <v>173.67666527021365</v>
      </c>
      <c r="I8" s="1">
        <v>179.19232255839401</v>
      </c>
      <c r="J8" s="1">
        <v>176.3291918184747</v>
      </c>
      <c r="K8" s="1">
        <v>159.20885780885783</v>
      </c>
      <c r="L8" s="1">
        <v>215.830873374991</v>
      </c>
      <c r="M8" s="1">
        <v>170.41984429630438</v>
      </c>
      <c r="N8" s="1">
        <v>323.38980864766512</v>
      </c>
    </row>
    <row r="9" spans="1:14" x14ac:dyDescent="0.25">
      <c r="A9" s="3" t="s">
        <v>65</v>
      </c>
      <c r="B9" s="1">
        <v>227.44344229140907</v>
      </c>
      <c r="C9" s="1">
        <v>247.48722972824913</v>
      </c>
      <c r="D9" s="1">
        <v>173.92380382758626</v>
      </c>
      <c r="E9" s="1">
        <v>268.65518194048713</v>
      </c>
      <c r="F9" s="1">
        <v>254.09094589272109</v>
      </c>
      <c r="G9" s="1">
        <v>209.90313681868739</v>
      </c>
      <c r="H9" s="1">
        <v>265.0173335558942</v>
      </c>
      <c r="I9" s="1">
        <v>233.8590946275358</v>
      </c>
      <c r="J9" s="1">
        <v>174.1420717189315</v>
      </c>
      <c r="K9" s="1">
        <v>243.24366528980676</v>
      </c>
      <c r="L9" s="1">
        <v>250.98373723766608</v>
      </c>
      <c r="M9" s="1">
        <v>214.66786389481931</v>
      </c>
      <c r="N9" s="1">
        <v>326.46675212843132</v>
      </c>
    </row>
    <row r="10" spans="1:14" x14ac:dyDescent="0.25">
      <c r="A10" s="3" t="s">
        <v>70</v>
      </c>
      <c r="B10" s="1">
        <v>151.81660418362338</v>
      </c>
      <c r="C10" s="1">
        <v>222.62621085746642</v>
      </c>
      <c r="D10" s="1">
        <v>157.08172823689918</v>
      </c>
      <c r="E10" s="1">
        <v>218.66501811275828</v>
      </c>
      <c r="F10" s="1">
        <v>198.93176208911643</v>
      </c>
      <c r="G10" s="1">
        <v>212.78548437465008</v>
      </c>
      <c r="H10" s="1">
        <v>164.12335026112893</v>
      </c>
      <c r="I10" s="1">
        <v>146.81050480885409</v>
      </c>
      <c r="J10" s="1">
        <v>167.3372729696039</v>
      </c>
      <c r="K10" s="1">
        <v>199.90296318868525</v>
      </c>
      <c r="L10" s="1">
        <v>166.86848254814061</v>
      </c>
      <c r="M10" s="1">
        <v>156.03849139883476</v>
      </c>
      <c r="N10" s="1">
        <v>256.60808304323768</v>
      </c>
    </row>
    <row r="11" spans="1:14" x14ac:dyDescent="0.25">
      <c r="A11" s="3" t="s">
        <v>83</v>
      </c>
      <c r="B11" s="1">
        <v>222.4691638452465</v>
      </c>
      <c r="C11" s="1">
        <v>304.88642589439922</v>
      </c>
      <c r="D11" s="1">
        <v>198.05737054383945</v>
      </c>
      <c r="E11" s="1">
        <v>270.39447007644713</v>
      </c>
      <c r="F11" s="1">
        <v>208.32303334286851</v>
      </c>
      <c r="G11" s="1">
        <v>248.85535746985576</v>
      </c>
      <c r="H11" s="1">
        <v>229.456698657245</v>
      </c>
      <c r="I11" s="1">
        <v>218.98727707899565</v>
      </c>
      <c r="J11" s="1">
        <v>271.66060612008988</v>
      </c>
      <c r="K11" s="1">
        <v>216.22151883692064</v>
      </c>
      <c r="L11" s="1">
        <v>246.00067460317462</v>
      </c>
      <c r="M11" s="1">
        <v>178.9763914258871</v>
      </c>
      <c r="N11" s="1">
        <v>311.90330825332046</v>
      </c>
    </row>
    <row r="12" spans="1:14" x14ac:dyDescent="0.25">
      <c r="A12" s="3" t="s">
        <v>128</v>
      </c>
      <c r="B12" s="4">
        <v>231.65296093337318</v>
      </c>
      <c r="C12" s="4">
        <v>216.02796749495761</v>
      </c>
      <c r="D12" s="4">
        <v>181.31383244050292</v>
      </c>
      <c r="E12" s="4">
        <v>239.39266687469848</v>
      </c>
      <c r="F12" s="4">
        <v>209.03340728586284</v>
      </c>
      <c r="G12" s="4">
        <v>232.857356651282</v>
      </c>
      <c r="H12" s="4">
        <v>205.80163092868074</v>
      </c>
      <c r="I12" s="4">
        <v>197.89979351544653</v>
      </c>
      <c r="J12" s="4">
        <v>205.88270976634587</v>
      </c>
      <c r="K12" s="4">
        <v>199.53637731559675</v>
      </c>
      <c r="L12" s="4">
        <v>201.13686331455233</v>
      </c>
      <c r="M12" s="4">
        <v>174.08763343908143</v>
      </c>
      <c r="N12" s="4">
        <v>270.53376364515475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>
      <selection activeCell="O22" sqref="O2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IDO E OUTROS DADOS</vt:lpstr>
      <vt:lpstr>TABELA DINÂMICA</vt:lpstr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2023-12-05T19:14:59Z</dcterms:created>
  <dcterms:modified xsi:type="dcterms:W3CDTF">2025-12-17T12:39:05Z</dcterms:modified>
</cp:coreProperties>
</file>